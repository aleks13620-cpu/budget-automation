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N\Desktop\"/>
    </mc:Choice>
  </mc:AlternateContent>
  <xr:revisionPtr revIDLastSave="0" documentId="13_ncr:1_{90D3740E-8A8B-48E2-9E7D-A0FEBC14CF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Sheet1!$A$1:$L$357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8" i="1" l="1"/>
  <c r="M130" i="1"/>
  <c r="M57" i="1"/>
  <c r="L232" i="1" l="1"/>
  <c r="L231" i="1"/>
  <c r="L230" i="1"/>
  <c r="L226" i="1"/>
  <c r="L225" i="1"/>
  <c r="L224" i="1"/>
  <c r="L217" i="1"/>
  <c r="L216" i="1"/>
  <c r="L215" i="1"/>
  <c r="L214" i="1"/>
  <c r="L213" i="1"/>
  <c r="L212" i="1"/>
  <c r="L211" i="1"/>
  <c r="L210" i="1"/>
  <c r="L202" i="1"/>
  <c r="L201" i="1"/>
  <c r="L200" i="1"/>
  <c r="L199" i="1"/>
  <c r="L198" i="1"/>
  <c r="L197" i="1"/>
  <c r="L196" i="1"/>
  <c r="L195" i="1"/>
  <c r="L194" i="1"/>
  <c r="L193" i="1"/>
  <c r="L183" i="1"/>
  <c r="L181" i="1"/>
  <c r="L180" i="1"/>
  <c r="L179" i="1"/>
  <c r="L178" i="1"/>
  <c r="L177" i="1"/>
  <c r="L176" i="1"/>
  <c r="L175" i="1"/>
  <c r="L174" i="1"/>
  <c r="L173" i="1"/>
  <c r="L161" i="1"/>
  <c r="L160" i="1"/>
  <c r="L159" i="1"/>
  <c r="L158" i="1"/>
  <c r="L157" i="1"/>
  <c r="L155" i="1"/>
  <c r="L143" i="1"/>
  <c r="L142" i="1"/>
  <c r="L141" i="1"/>
  <c r="L140" i="1"/>
  <c r="L139" i="1"/>
  <c r="L138" i="1"/>
</calcChain>
</file>

<file path=xl/sharedStrings.xml><?xml version="1.0" encoding="utf-8"?>
<sst xmlns="http://schemas.openxmlformats.org/spreadsheetml/2006/main" count="1205" uniqueCount="513">
  <si>
    <r>
      <rPr>
        <sz val="15"/>
        <rFont val="Arial"/>
        <family val="2"/>
        <charset val="204"/>
      </rPr>
      <t>Поз.</t>
    </r>
  </si>
  <si>
    <r>
      <rPr>
        <b/>
        <u/>
        <sz val="15"/>
        <rFont val="Arial"/>
        <family val="2"/>
        <charset val="204"/>
      </rPr>
      <t>ОТОПЛЕНИЕ</t>
    </r>
  </si>
  <si>
    <r>
      <rPr>
        <sz val="15"/>
        <rFont val="Arial"/>
        <family val="2"/>
        <charset val="204"/>
      </rPr>
      <t>Узел этажный распред. на 5 кв.; в составе:</t>
    </r>
  </si>
  <si>
    <r>
      <rPr>
        <sz val="15"/>
        <rFont val="Arial"/>
        <family val="2"/>
        <charset val="204"/>
      </rPr>
      <t>- вводные шаровые краны</t>
    </r>
  </si>
  <si>
    <r>
      <rPr>
        <sz val="15"/>
        <rFont val="Arial"/>
        <family val="2"/>
        <charset val="204"/>
      </rPr>
      <t>- сетчатый фильтр</t>
    </r>
  </si>
  <si>
    <r>
      <rPr>
        <sz val="15"/>
        <rFont val="Arial"/>
        <family val="2"/>
        <charset val="204"/>
      </rPr>
      <t>- подающий распред. коллектор</t>
    </r>
  </si>
  <si>
    <r>
      <rPr>
        <sz val="15"/>
        <rFont val="Arial"/>
        <family val="2"/>
        <charset val="204"/>
      </rPr>
      <t>- обратный распред. коллектор</t>
    </r>
  </si>
  <si>
    <r>
      <rPr>
        <sz val="15"/>
        <rFont val="Arial"/>
        <family val="2"/>
        <charset val="204"/>
      </rPr>
      <t>- запорные латунные вставки на потребителей</t>
    </r>
  </si>
  <si>
    <r>
      <rPr>
        <sz val="15"/>
        <rFont val="Arial"/>
        <family val="2"/>
        <charset val="204"/>
      </rPr>
      <t>- автомат. балансиров. клапан</t>
    </r>
  </si>
  <si>
    <r>
      <rPr>
        <sz val="15"/>
        <rFont val="Arial"/>
        <family val="2"/>
        <charset val="204"/>
      </rPr>
      <t>- дренажные краны</t>
    </r>
  </si>
  <si>
    <r>
      <rPr>
        <sz val="15"/>
        <rFont val="Arial"/>
        <family val="2"/>
        <charset val="204"/>
      </rPr>
      <t>- кронштейны</t>
    </r>
  </si>
  <si>
    <r>
      <rPr>
        <sz val="15"/>
        <rFont val="Arial"/>
        <family val="2"/>
        <charset val="204"/>
      </rPr>
      <t>- вставка под теплосчетчик</t>
    </r>
  </si>
  <si>
    <r>
      <rPr>
        <sz val="15"/>
        <rFont val="Arial"/>
        <family val="2"/>
        <charset val="204"/>
      </rPr>
      <t>- ручной балансировочный клапан на потребителей</t>
    </r>
  </si>
  <si>
    <r>
      <rPr>
        <sz val="15"/>
        <rFont val="Arial"/>
        <family val="2"/>
        <charset val="204"/>
      </rPr>
      <t>- воздухоотводчики</t>
    </r>
  </si>
  <si>
    <r>
      <rPr>
        <sz val="15"/>
        <rFont val="Arial"/>
        <family val="2"/>
        <charset val="204"/>
      </rPr>
      <t>Узел этажный распред. на 6 кв.; в составе:</t>
    </r>
  </si>
  <si>
    <r>
      <rPr>
        <sz val="15"/>
        <rFont val="Arial"/>
        <family val="2"/>
        <charset val="204"/>
      </rPr>
      <t>- запорные латунные вставки на потребителей</t>
    </r>
  </si>
  <si>
    <r>
      <rPr>
        <sz val="15"/>
        <rFont val="Arial"/>
        <family val="2"/>
        <charset val="204"/>
      </rPr>
      <t>TDU.5R DN50-5 R-32- MVT25-APT25-MVT15</t>
    </r>
  </si>
  <si>
    <r>
      <rPr>
        <sz val="15"/>
        <rFont val="Arial"/>
        <family val="2"/>
        <charset val="204"/>
      </rPr>
      <t>TDU.5R DN50-6 R-32- MVT25-APT25-MVT15</t>
    </r>
  </si>
  <si>
    <r>
      <rPr>
        <sz val="15"/>
        <rFont val="Arial"/>
        <family val="2"/>
        <charset val="204"/>
      </rPr>
      <t>Код оборудования, изделия, материала</t>
    </r>
  </si>
  <si>
    <r>
      <rPr>
        <sz val="15"/>
        <rFont val="Arial"/>
        <family val="2"/>
        <charset val="204"/>
      </rPr>
      <t>Завод изготовитель</t>
    </r>
  </si>
  <si>
    <r>
      <rPr>
        <sz val="15"/>
        <rFont val="Arial"/>
        <family val="2"/>
        <charset val="204"/>
      </rPr>
      <t>РИДАН</t>
    </r>
  </si>
  <si>
    <r>
      <rPr>
        <sz val="15"/>
        <rFont val="Arial"/>
        <family val="2"/>
        <charset val="204"/>
      </rPr>
      <t>Единица измерения</t>
    </r>
  </si>
  <si>
    <r>
      <rPr>
        <sz val="15"/>
        <rFont val="Arial"/>
        <family val="2"/>
        <charset val="204"/>
      </rPr>
      <t>шт.</t>
    </r>
  </si>
  <si>
    <r>
      <rPr>
        <sz val="15"/>
        <rFont val="Arial"/>
        <family val="2"/>
        <charset val="204"/>
      </rPr>
      <t>Масса единицы, кг</t>
    </r>
  </si>
  <si>
    <r>
      <rPr>
        <sz val="15"/>
        <rFont val="Arial"/>
        <family val="2"/>
        <charset val="204"/>
      </rPr>
      <t>Примечание</t>
    </r>
  </si>
  <si>
    <r>
      <rPr>
        <sz val="15"/>
        <rFont val="Arial"/>
        <family val="2"/>
        <charset val="204"/>
      </rPr>
      <t>- ручной балансировочный клапан на потребителей</t>
    </r>
  </si>
  <si>
    <r>
      <rPr>
        <sz val="15"/>
        <rFont val="Arial"/>
        <family val="2"/>
        <charset val="204"/>
      </rPr>
      <t>Узел этажный распред. на 6 кв.; в составе:</t>
    </r>
  </si>
  <si>
    <r>
      <rPr>
        <sz val="15"/>
        <rFont val="Arial"/>
        <family val="2"/>
        <charset val="204"/>
      </rPr>
      <t>- запорные латунные вставки на потребителей</t>
    </r>
  </si>
  <si>
    <r>
      <rPr>
        <sz val="15"/>
        <rFont val="Arial"/>
        <family val="2"/>
        <charset val="204"/>
      </rPr>
      <t>- ручной балансировочный клапан на потребителей</t>
    </r>
  </si>
  <si>
    <r>
      <rPr>
        <sz val="15"/>
        <rFont val="Arial"/>
        <family val="2"/>
        <charset val="204"/>
      </rPr>
      <t>Теплосчетчик поквартирный, qp=1.5м3/ч; Ø15</t>
    </r>
  </si>
  <si>
    <r>
      <rPr>
        <sz val="15"/>
        <rFont val="Arial"/>
        <family val="2"/>
        <charset val="204"/>
      </rPr>
      <t xml:space="preserve">Радиатор панельный </t>
    </r>
    <r>
      <rPr>
        <sz val="15"/>
        <rFont val="Arial"/>
        <family val="2"/>
        <charset val="204"/>
      </rPr>
      <t>Compact</t>
    </r>
  </si>
  <si>
    <r>
      <rPr>
        <sz val="15"/>
        <rFont val="Arial"/>
        <family val="2"/>
        <charset val="204"/>
      </rPr>
      <t xml:space="preserve">Радиатор панельный </t>
    </r>
    <r>
      <rPr>
        <sz val="15"/>
        <rFont val="Arial"/>
        <family val="2"/>
        <charset val="204"/>
      </rPr>
      <t>Ventil Compact</t>
    </r>
  </si>
  <si>
    <r>
      <rPr>
        <sz val="15"/>
        <rFont val="Arial"/>
        <family val="2"/>
        <charset val="204"/>
      </rPr>
      <t>TDU.5R DN50-6 L-32- MVT25-APT25-MVT15</t>
    </r>
  </si>
  <si>
    <r>
      <rPr>
        <sz val="15"/>
        <rFont val="Arial"/>
        <family val="2"/>
        <charset val="204"/>
      </rPr>
      <t xml:space="preserve">SonoSelect </t>
    </r>
    <r>
      <rPr>
        <sz val="15"/>
        <rFont val="Arial"/>
        <family val="2"/>
        <charset val="204"/>
      </rPr>
      <t>10</t>
    </r>
  </si>
  <si>
    <r>
      <rPr>
        <sz val="15"/>
        <rFont val="Arial"/>
        <family val="2"/>
        <charset val="204"/>
      </rPr>
      <t>C22-400-600</t>
    </r>
  </si>
  <si>
    <r>
      <rPr>
        <sz val="15"/>
        <rFont val="Arial"/>
        <family val="2"/>
        <charset val="204"/>
      </rPr>
      <t>C22-400-1200</t>
    </r>
  </si>
  <si>
    <r>
      <rPr>
        <sz val="15"/>
        <rFont val="Arial"/>
        <family val="2"/>
        <charset val="204"/>
      </rPr>
      <t>C22-400-1400</t>
    </r>
  </si>
  <si>
    <r>
      <rPr>
        <sz val="15"/>
        <rFont val="Arial"/>
        <family val="2"/>
        <charset val="204"/>
      </rPr>
      <t>C33-400-1000</t>
    </r>
  </si>
  <si>
    <r>
      <rPr>
        <sz val="15"/>
        <rFont val="Arial"/>
        <family val="2"/>
        <charset val="204"/>
      </rPr>
      <t>CV11-400-1000</t>
    </r>
  </si>
  <si>
    <r>
      <rPr>
        <sz val="15"/>
        <rFont val="Arial"/>
        <family val="2"/>
        <charset val="204"/>
      </rPr>
      <t>CV11-400-1200</t>
    </r>
  </si>
  <si>
    <r>
      <rPr>
        <sz val="15"/>
        <rFont val="Arial"/>
        <family val="2"/>
        <charset val="204"/>
      </rPr>
      <t>CV11-400-1400</t>
    </r>
  </si>
  <si>
    <r>
      <rPr>
        <sz val="15"/>
        <rFont val="Arial"/>
        <family val="2"/>
        <charset val="204"/>
      </rPr>
      <t>CV11-400-1600</t>
    </r>
  </si>
  <si>
    <r>
      <rPr>
        <sz val="15"/>
        <rFont val="Arial"/>
        <family val="2"/>
        <charset val="204"/>
      </rPr>
      <t>CV22-400-700</t>
    </r>
  </si>
  <si>
    <r>
      <rPr>
        <sz val="15"/>
        <rFont val="Arial"/>
        <family val="2"/>
        <charset val="204"/>
      </rPr>
      <t>CV22-400-800</t>
    </r>
  </si>
  <si>
    <r>
      <rPr>
        <sz val="15"/>
        <rFont val="Arial"/>
        <family val="2"/>
        <charset val="204"/>
      </rPr>
      <t>CV22-400-900</t>
    </r>
  </si>
  <si>
    <r>
      <rPr>
        <sz val="15"/>
        <rFont val="Arial"/>
        <family val="2"/>
        <charset val="204"/>
      </rPr>
      <t>CV22-400-1000</t>
    </r>
  </si>
  <si>
    <r>
      <rPr>
        <sz val="15"/>
        <rFont val="Arial"/>
        <family val="2"/>
        <charset val="204"/>
      </rPr>
      <t>EVRA</t>
    </r>
  </si>
  <si>
    <r>
      <rPr>
        <sz val="10"/>
        <rFont val="Arial"/>
        <family val="2"/>
        <charset val="204"/>
      </rPr>
      <t>включая крепежный материал, ключи для воздухоотводчика, воздухоотводчик</t>
    </r>
  </si>
  <si>
    <r>
      <rPr>
        <sz val="10"/>
        <rFont val="Arial"/>
        <family val="2"/>
        <charset val="204"/>
      </rPr>
      <t>включая крепежный материал, ключи для воздухоотводчика, воздухоотводчик, клапанная вставка с предварительной регулировкой</t>
    </r>
  </si>
  <si>
    <r>
      <rPr>
        <sz val="15"/>
        <rFont val="Arial"/>
        <family val="2"/>
        <charset val="204"/>
      </rPr>
      <t xml:space="preserve">Комплект подключения: -    комплект клапанов для нижнего подключения прямой </t>
    </r>
    <r>
      <rPr>
        <sz val="15"/>
        <rFont val="Arial"/>
        <family val="2"/>
        <charset val="204"/>
      </rPr>
      <t xml:space="preserve">LV-KB </t>
    </r>
    <r>
      <rPr>
        <sz val="15"/>
        <rFont val="Arial"/>
        <family val="2"/>
        <charset val="204"/>
      </rPr>
      <t xml:space="preserve">-    термостатический элемент </t>
    </r>
    <r>
      <rPr>
        <sz val="15"/>
        <rFont val="Arial"/>
        <family val="2"/>
        <charset val="204"/>
      </rPr>
      <t xml:space="preserve">TR </t>
    </r>
    <r>
      <rPr>
        <sz val="15"/>
        <rFont val="Arial"/>
        <family val="2"/>
        <charset val="204"/>
      </rPr>
      <t>84</t>
    </r>
  </si>
  <si>
    <r>
      <rPr>
        <sz val="15"/>
        <rFont val="Arial"/>
        <family val="2"/>
        <charset val="204"/>
      </rPr>
      <t xml:space="preserve">Воздухоотводчик автоматический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15</t>
    </r>
  </si>
  <si>
    <r>
      <rPr>
        <sz val="15"/>
        <rFont val="Arial"/>
        <family val="2"/>
        <charset val="204"/>
      </rPr>
      <t xml:space="preserve">Кран шаровой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15</t>
    </r>
  </si>
  <si>
    <r>
      <rPr>
        <sz val="15"/>
        <rFont val="Arial"/>
        <family val="2"/>
        <charset val="204"/>
      </rPr>
      <t xml:space="preserve">Кран шаровой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25</t>
    </r>
  </si>
  <si>
    <r>
      <rPr>
        <sz val="15"/>
        <rFont val="Arial"/>
        <family val="2"/>
        <charset val="204"/>
      </rPr>
      <t xml:space="preserve">Кран шаровой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65</t>
    </r>
  </si>
  <si>
    <r>
      <rPr>
        <sz val="15"/>
        <rFont val="Arial"/>
        <family val="2"/>
        <charset val="204"/>
      </rPr>
      <t xml:space="preserve">Клапан балансировочный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15</t>
    </r>
  </si>
  <si>
    <r>
      <rPr>
        <sz val="15"/>
        <rFont val="Arial"/>
        <family val="2"/>
        <charset val="204"/>
      </rPr>
      <t xml:space="preserve">Клапан балансировочный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25</t>
    </r>
  </si>
  <si>
    <r>
      <rPr>
        <sz val="15"/>
        <rFont val="Arial"/>
        <family val="2"/>
        <charset val="204"/>
      </rPr>
      <t xml:space="preserve">Клапан балансировочный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65</t>
    </r>
  </si>
  <si>
    <r>
      <rPr>
        <sz val="15"/>
        <rFont val="Arial"/>
        <family val="2"/>
        <charset val="204"/>
      </rPr>
      <t>Неподвижная опора</t>
    </r>
  </si>
  <si>
    <r>
      <rPr>
        <sz val="15"/>
        <rFont val="Arial"/>
        <family val="2"/>
        <charset val="204"/>
      </rPr>
      <t>Ø15</t>
    </r>
  </si>
  <si>
    <r>
      <rPr>
        <sz val="15"/>
        <rFont val="Arial"/>
        <family val="2"/>
        <charset val="204"/>
      </rPr>
      <t>Ø20</t>
    </r>
  </si>
  <si>
    <r>
      <rPr>
        <sz val="15"/>
        <rFont val="Arial"/>
        <family val="2"/>
        <charset val="204"/>
      </rPr>
      <t>Ø25</t>
    </r>
  </si>
  <si>
    <r>
      <rPr>
        <sz val="15"/>
        <rFont val="Arial"/>
        <family val="2"/>
        <charset val="204"/>
      </rPr>
      <t>Ø40</t>
    </r>
  </si>
  <si>
    <r>
      <rPr>
        <sz val="15"/>
        <rFont val="Arial"/>
        <family val="2"/>
        <charset val="204"/>
      </rPr>
      <t>Ø65</t>
    </r>
  </si>
  <si>
    <r>
      <rPr>
        <sz val="15"/>
        <rFont val="Arial"/>
        <family val="2"/>
        <charset val="204"/>
      </rPr>
      <t>Сильфонный компенсатор осевой, с внутр. гильзой и наружным кожухом</t>
    </r>
  </si>
  <si>
    <r>
      <rPr>
        <sz val="15"/>
        <rFont val="Arial"/>
        <family val="2"/>
        <charset val="204"/>
      </rPr>
      <t>Ø50</t>
    </r>
  </si>
  <si>
    <r>
      <rPr>
        <sz val="15"/>
        <rFont val="Arial"/>
        <family val="2"/>
        <charset val="204"/>
      </rPr>
      <t>Трубы стальные водогазопроводные</t>
    </r>
  </si>
  <si>
    <r>
      <rPr>
        <sz val="15"/>
        <rFont val="Arial"/>
        <family val="2"/>
        <charset val="204"/>
      </rPr>
      <t>Ø15х2,8</t>
    </r>
  </si>
  <si>
    <r>
      <rPr>
        <sz val="15"/>
        <rFont val="Arial"/>
        <family val="2"/>
        <charset val="204"/>
      </rPr>
      <t>CV22-400-1200</t>
    </r>
  </si>
  <si>
    <r>
      <rPr>
        <sz val="15"/>
        <rFont val="Arial"/>
        <family val="2"/>
        <charset val="204"/>
      </rPr>
      <t>CV22-400-1400</t>
    </r>
  </si>
  <si>
    <r>
      <rPr>
        <sz val="15"/>
        <rFont val="Arial"/>
        <family val="2"/>
        <charset val="204"/>
      </rPr>
      <t>CV22-400-1600</t>
    </r>
  </si>
  <si>
    <r>
      <rPr>
        <sz val="15"/>
        <rFont val="Arial"/>
        <family val="2"/>
        <charset val="204"/>
      </rPr>
      <t>Airvent</t>
    </r>
  </si>
  <si>
    <r>
      <rPr>
        <sz val="15"/>
        <rFont val="Arial"/>
        <family val="2"/>
        <charset val="204"/>
      </rPr>
      <t>BVR</t>
    </r>
  </si>
  <si>
    <r>
      <rPr>
        <sz val="15"/>
        <rFont val="Arial"/>
        <family val="2"/>
        <charset val="204"/>
      </rPr>
      <t>JIP Standard FF</t>
    </r>
  </si>
  <si>
    <r>
      <rPr>
        <sz val="15"/>
        <rFont val="Arial"/>
        <family val="2"/>
        <charset val="204"/>
      </rPr>
      <t>MVT</t>
    </r>
  </si>
  <si>
    <r>
      <rPr>
        <sz val="15"/>
        <rFont val="Arial"/>
        <family val="2"/>
        <charset val="204"/>
      </rPr>
      <t>MNF</t>
    </r>
  </si>
  <si>
    <r>
      <rPr>
        <sz val="15"/>
        <rFont val="Arial"/>
        <family val="2"/>
        <charset val="204"/>
      </rPr>
      <t>ОСТ 36-146-88</t>
    </r>
  </si>
  <si>
    <r>
      <rPr>
        <sz val="15"/>
        <rFont val="Arial"/>
        <family val="2"/>
        <charset val="204"/>
      </rPr>
      <t>ГОСТ 3262-75*</t>
    </r>
  </si>
  <si>
    <r>
      <rPr>
        <sz val="15"/>
        <rFont val="Arial"/>
        <family val="2"/>
        <charset val="204"/>
      </rPr>
      <t>м</t>
    </r>
  </si>
  <si>
    <r>
      <rPr>
        <sz val="15"/>
        <rFont val="Arial"/>
        <family val="2"/>
        <charset val="204"/>
      </rPr>
      <t>Ø20х2,8</t>
    </r>
  </si>
  <si>
    <r>
      <rPr>
        <sz val="15"/>
        <rFont val="Arial"/>
        <family val="2"/>
        <charset val="204"/>
      </rPr>
      <t>Ø25х3,2</t>
    </r>
  </si>
  <si>
    <r>
      <rPr>
        <sz val="15"/>
        <rFont val="Arial"/>
        <family val="2"/>
        <charset val="204"/>
      </rPr>
      <t>Ø32x3,2</t>
    </r>
  </si>
  <si>
    <r>
      <rPr>
        <sz val="15"/>
        <rFont val="Arial"/>
        <family val="2"/>
        <charset val="204"/>
      </rPr>
      <t>Ø40x3,5</t>
    </r>
  </si>
  <si>
    <r>
      <rPr>
        <sz val="15"/>
        <rFont val="Arial"/>
        <family val="2"/>
        <charset val="204"/>
      </rPr>
      <t>Трубы стальные электросварные</t>
    </r>
  </si>
  <si>
    <r>
      <rPr>
        <sz val="15"/>
        <rFont val="Arial"/>
        <family val="2"/>
        <charset val="204"/>
      </rPr>
      <t>Ø57х3,0</t>
    </r>
  </si>
  <si>
    <r>
      <rPr>
        <sz val="15"/>
        <rFont val="Arial"/>
        <family val="2"/>
        <charset val="204"/>
      </rPr>
      <t>Ø76х3,0</t>
    </r>
  </si>
  <si>
    <r>
      <rPr>
        <sz val="15"/>
        <rFont val="Arial"/>
        <family val="2"/>
        <charset val="204"/>
      </rPr>
      <t>Ø89х3,5</t>
    </r>
  </si>
  <si>
    <r>
      <rPr>
        <sz val="15"/>
        <rFont val="Arial"/>
        <family val="2"/>
        <charset val="204"/>
      </rPr>
      <t>Цилиндры теплоизоляционные из минеральной ваты (кашированные армированной алюминиевой фольгой)</t>
    </r>
  </si>
  <si>
    <r>
      <rPr>
        <sz val="15"/>
        <rFont val="Arial"/>
        <family val="2"/>
        <charset val="204"/>
      </rPr>
      <t>δ=30мм Ø22</t>
    </r>
  </si>
  <si>
    <r>
      <rPr>
        <sz val="15"/>
        <rFont val="Arial"/>
        <family val="2"/>
        <charset val="204"/>
      </rPr>
      <t>δ=30мм Ø27</t>
    </r>
  </si>
  <si>
    <r>
      <rPr>
        <sz val="15"/>
        <rFont val="Arial"/>
        <family val="2"/>
        <charset val="204"/>
      </rPr>
      <t>δ=30мм Ø34</t>
    </r>
  </si>
  <si>
    <r>
      <rPr>
        <sz val="15"/>
        <rFont val="Arial"/>
        <family val="2"/>
        <charset val="204"/>
      </rPr>
      <t>δ=30мм Ø43</t>
    </r>
  </si>
  <si>
    <r>
      <rPr>
        <sz val="15"/>
        <rFont val="Arial"/>
        <family val="2"/>
        <charset val="204"/>
      </rPr>
      <t>δ=30мм Ø48</t>
    </r>
  </si>
  <si>
    <r>
      <rPr>
        <sz val="15"/>
        <rFont val="Arial"/>
        <family val="2"/>
        <charset val="204"/>
      </rPr>
      <t>δ=30мм Ø57</t>
    </r>
  </si>
  <si>
    <r>
      <rPr>
        <sz val="15"/>
        <rFont val="Arial"/>
        <family val="2"/>
        <charset val="204"/>
      </rPr>
      <t>δ=30мм Ø76</t>
    </r>
  </si>
  <si>
    <r>
      <rPr>
        <sz val="15"/>
        <rFont val="Arial"/>
        <family val="2"/>
        <charset val="204"/>
      </rPr>
      <t>δ=30мм Ø89</t>
    </r>
  </si>
  <si>
    <r>
      <rPr>
        <sz val="15"/>
        <rFont val="Arial"/>
        <family val="2"/>
        <charset val="204"/>
      </rPr>
      <t>Антикоррозионн. покрытие трубопроводов за 2 раза:</t>
    </r>
  </si>
  <si>
    <r>
      <rPr>
        <sz val="15"/>
        <rFont val="Arial"/>
        <family val="2"/>
        <charset val="204"/>
      </rPr>
      <t>- грунт ГФ-021</t>
    </r>
  </si>
  <si>
    <r>
      <rPr>
        <sz val="15"/>
        <rFont val="Arial"/>
        <family val="2"/>
        <charset val="204"/>
      </rPr>
      <t>- краска ПФ-115</t>
    </r>
  </si>
  <si>
    <r>
      <rPr>
        <sz val="15"/>
        <rFont val="Arial"/>
        <family val="2"/>
        <charset val="204"/>
      </rPr>
      <t>Гильзы из труб стальных водогазопроводных</t>
    </r>
  </si>
  <si>
    <r>
      <rPr>
        <sz val="15"/>
        <rFont val="Arial"/>
        <family val="2"/>
        <charset val="204"/>
      </rPr>
      <t>Гильзы из труб стальных электросварных</t>
    </r>
  </si>
  <si>
    <r>
      <rPr>
        <sz val="15"/>
        <rFont val="Arial"/>
        <family val="2"/>
        <charset val="204"/>
      </rPr>
      <t>ГОСТ 10704-91</t>
    </r>
  </si>
  <si>
    <r>
      <rPr>
        <sz val="15"/>
        <rFont val="Arial"/>
        <family val="2"/>
        <charset val="204"/>
      </rPr>
      <t>ГОСТ 25129-82</t>
    </r>
  </si>
  <si>
    <r>
      <rPr>
        <sz val="15"/>
        <rFont val="Arial"/>
        <family val="2"/>
        <charset val="204"/>
      </rPr>
      <t>ГОСТ 6465-76</t>
    </r>
  </si>
  <si>
    <r>
      <rPr>
        <sz val="15"/>
        <rFont val="Arial"/>
        <family val="2"/>
        <charset val="204"/>
      </rPr>
      <t>кг</t>
    </r>
  </si>
  <si>
    <r>
      <rPr>
        <sz val="15"/>
        <rFont val="Arial"/>
        <family val="2"/>
        <charset val="204"/>
      </rPr>
      <t>Ø108х4,0</t>
    </r>
  </si>
  <si>
    <r>
      <rPr>
        <sz val="15"/>
        <rFont val="Arial"/>
        <family val="2"/>
        <charset val="204"/>
      </rPr>
      <t>Металл для крепления трубопроводов</t>
    </r>
  </si>
  <si>
    <r>
      <rPr>
        <sz val="15"/>
        <rFont val="Arial"/>
        <family val="2"/>
        <charset val="204"/>
      </rPr>
      <t>Труба из сшитого полиэтилена</t>
    </r>
  </si>
  <si>
    <r>
      <rPr>
        <sz val="15"/>
        <rFont val="Arial"/>
        <family val="2"/>
        <charset val="204"/>
      </rPr>
      <t>Ø16х2,2</t>
    </r>
  </si>
  <si>
    <r>
      <rPr>
        <sz val="15"/>
        <rFont val="Arial"/>
        <family val="2"/>
        <charset val="204"/>
      </rPr>
      <t>Ø25х3,5</t>
    </r>
  </si>
  <si>
    <r>
      <rPr>
        <sz val="15"/>
        <rFont val="Arial"/>
        <family val="2"/>
        <charset val="204"/>
      </rPr>
      <t>04x018</t>
    </r>
  </si>
  <si>
    <r>
      <rPr>
        <sz val="15"/>
        <rFont val="Arial"/>
        <family val="2"/>
        <charset val="204"/>
      </rPr>
      <t>04x022</t>
    </r>
  </si>
  <si>
    <r>
      <rPr>
        <sz val="15"/>
        <rFont val="Arial"/>
        <family val="2"/>
        <charset val="204"/>
      </rPr>
      <t>04x028</t>
    </r>
  </si>
  <si>
    <r>
      <rPr>
        <sz val="15"/>
        <rFont val="Arial"/>
        <family val="2"/>
        <charset val="204"/>
      </rPr>
      <t>Электрический конвектор с кронштейнами 1500Вт</t>
    </r>
  </si>
  <si>
    <r>
      <rPr>
        <b/>
        <u/>
        <sz val="15"/>
        <rFont val="Arial"/>
        <family val="2"/>
        <charset val="204"/>
      </rPr>
      <t>БЛОЧНЫЙ ИТП</t>
    </r>
  </si>
  <si>
    <r>
      <rPr>
        <sz val="15"/>
        <rFont val="Arial"/>
        <family val="2"/>
        <charset val="204"/>
      </rPr>
      <t>Блок ввода и учета тепла</t>
    </r>
  </si>
  <si>
    <r>
      <rPr>
        <sz val="15"/>
        <rFont val="Arial"/>
        <family val="2"/>
        <charset val="204"/>
      </rPr>
      <t>Блок ГВС</t>
    </r>
  </si>
  <si>
    <r>
      <rPr>
        <sz val="15"/>
        <rFont val="Arial"/>
        <family val="2"/>
        <charset val="204"/>
      </rPr>
      <t>Блок отопления</t>
    </r>
  </si>
  <si>
    <r>
      <rPr>
        <sz val="15"/>
        <rFont val="Arial"/>
        <family val="2"/>
        <charset val="204"/>
      </rPr>
      <t>Коллектор отопления</t>
    </r>
  </si>
  <si>
    <r>
      <rPr>
        <sz val="15"/>
        <rFont val="Arial"/>
        <family val="2"/>
        <charset val="204"/>
      </rPr>
      <t>Гильзы из труб стальных водогазопроводных</t>
    </r>
  </si>
  <si>
    <r>
      <rPr>
        <b/>
        <u/>
        <sz val="15"/>
        <rFont val="Arial"/>
        <family val="2"/>
        <charset val="204"/>
      </rPr>
      <t>ВЕНТИЛЯЦИЯ</t>
    </r>
  </si>
  <si>
    <r>
      <rPr>
        <b/>
        <sz val="15"/>
        <rFont val="Arial"/>
        <family val="2"/>
        <charset val="204"/>
      </rPr>
      <t>ВД1</t>
    </r>
  </si>
  <si>
    <r>
      <rPr>
        <sz val="15"/>
        <rFont val="Arial"/>
        <family val="2"/>
        <charset val="204"/>
      </rPr>
      <t>Вентилятор дымоудаления L=17100м3/ч</t>
    </r>
  </si>
  <si>
    <r>
      <rPr>
        <sz val="15"/>
        <rFont val="Arial"/>
        <family val="2"/>
        <charset val="204"/>
      </rPr>
      <t>Шкаф управления вентилятором</t>
    </r>
  </si>
  <si>
    <r>
      <rPr>
        <sz val="15"/>
        <rFont val="Arial"/>
        <family val="2"/>
        <charset val="204"/>
      </rPr>
      <t>PEXа/EVOH</t>
    </r>
  </si>
  <si>
    <r>
      <rPr>
        <sz val="15"/>
        <rFont val="Arial"/>
        <family val="2"/>
        <charset val="204"/>
      </rPr>
      <t>PE COMPACT</t>
    </r>
  </si>
  <si>
    <r>
      <rPr>
        <sz val="15"/>
        <rFont val="Arial"/>
        <family val="2"/>
        <charset val="204"/>
      </rPr>
      <t>N0808258694-1</t>
    </r>
  </si>
  <si>
    <r>
      <rPr>
        <sz val="15"/>
        <rFont val="Arial"/>
        <family val="2"/>
        <charset val="204"/>
      </rPr>
      <t>N0808258694-2</t>
    </r>
  </si>
  <si>
    <r>
      <rPr>
        <sz val="15"/>
        <rFont val="Arial"/>
        <family val="2"/>
        <charset val="204"/>
      </rPr>
      <t>N0808258694-3</t>
    </r>
  </si>
  <si>
    <r>
      <rPr>
        <sz val="15"/>
        <rFont val="Arial"/>
        <family val="2"/>
        <charset val="204"/>
      </rPr>
      <t>N0808258694-4</t>
    </r>
  </si>
  <si>
    <r>
      <rPr>
        <sz val="15"/>
        <rFont val="Arial"/>
        <family val="2"/>
        <charset val="204"/>
      </rPr>
      <t>KLR-DU-400-100H-15x10-HF-R0-У1</t>
    </r>
  </si>
  <si>
    <r>
      <rPr>
        <sz val="15"/>
        <rFont val="Arial"/>
        <family val="2"/>
        <charset val="204"/>
      </rPr>
      <t>ONE PLUS</t>
    </r>
  </si>
  <si>
    <r>
      <rPr>
        <sz val="15"/>
        <rFont val="Arial"/>
        <family val="2"/>
        <charset val="204"/>
      </rPr>
      <t>Ридан</t>
    </r>
  </si>
  <si>
    <r>
      <rPr>
        <sz val="15"/>
        <rFont val="Arial"/>
        <family val="2"/>
        <charset val="204"/>
      </rPr>
      <t>Korf</t>
    </r>
  </si>
  <si>
    <r>
      <rPr>
        <sz val="15"/>
        <rFont val="Arial"/>
        <family val="2"/>
        <charset val="204"/>
      </rPr>
      <t>компл.</t>
    </r>
  </si>
  <si>
    <r>
      <rPr>
        <sz val="15"/>
        <rFont val="Arial"/>
        <family val="2"/>
        <charset val="204"/>
      </rPr>
      <t>шт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</si>
  <si>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</si>
  <si>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Решетка декоративная</t>
    </r>
  </si>
  <si>
    <r>
      <rPr>
        <sz val="15"/>
        <rFont val="Arial"/>
        <family val="2"/>
        <charset val="204"/>
      </rPr>
      <t>Клапан противопожарный обратный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</si>
  <si>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</si>
  <si>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Компенсатор тепловых расширений 1100х500</t>
    </r>
  </si>
  <si>
    <r>
      <rPr>
        <sz val="15"/>
        <rFont val="Arial"/>
        <family val="2"/>
        <charset val="204"/>
      </rPr>
      <t>Воздуховод из оцинк. стали толщиной S=1.1мм Ø1000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</si>
  <si>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</si>
  <si>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Заглушка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</si>
  <si>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Отвод-90° из оцинк. стали толщиной S=1.1мм </t>
    </r>
    <r>
      <rPr>
        <sz val="15"/>
        <rFont val="Arial"/>
        <family val="2"/>
        <charset val="204"/>
      </rPr>
      <t>500x1100</t>
    </r>
  </si>
  <si>
    <r>
      <rPr>
        <sz val="15"/>
        <rFont val="Arial"/>
        <family val="2"/>
        <charset val="204"/>
      </rPr>
      <t>Переход из оцинк. стали толщиной S=1.1мм Ø1000/1100x500</t>
    </r>
  </si>
  <si>
    <r>
      <rPr>
        <sz val="15"/>
        <rFont val="Arial"/>
        <family val="2"/>
        <charset val="204"/>
      </rPr>
      <t xml:space="preserve">Тройник-90° из оцинк. стали толщиной S=1.1мм </t>
    </r>
    <r>
      <rPr>
        <sz val="15"/>
        <rFont val="Arial"/>
        <family val="2"/>
        <charset val="204"/>
      </rPr>
      <t>500x1100/500x1100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</si>
  <si>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</si>
  <si>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sz val="15"/>
        <rFont val="Arial"/>
        <family val="2"/>
        <charset val="204"/>
      </rPr>
      <t xml:space="preserve">Огнезащитная изоляция; </t>
    </r>
    <r>
      <rPr>
        <sz val="15"/>
        <rFont val="Arial"/>
        <family val="2"/>
        <charset val="204"/>
      </rPr>
      <t xml:space="preserve">EI </t>
    </r>
    <r>
      <rPr>
        <sz val="15"/>
        <rFont val="Arial"/>
        <family val="2"/>
        <charset val="204"/>
      </rPr>
      <t>45; НГ; S=5мм</t>
    </r>
  </si>
  <si>
    <r>
      <rPr>
        <sz val="15"/>
        <rFont val="Arial"/>
        <family val="2"/>
        <charset val="204"/>
      </rPr>
      <t>Кожух из оцинк. стали толщиной S=0,5мм</t>
    </r>
  </si>
  <si>
    <r>
      <rPr>
        <b/>
        <sz val="15"/>
        <rFont val="Arial"/>
        <family val="2"/>
        <charset val="204"/>
      </rPr>
      <t>ВД2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</si>
  <si>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</si>
  <si>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</si>
  <si>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Воздуховод из оцинк. стали толщиной S=1.1мм Ø1000</t>
    </r>
  </si>
  <si>
    <r>
      <rPr>
        <sz val="15"/>
        <rFont val="Arial"/>
        <family val="2"/>
        <charset val="204"/>
      </rPr>
      <t>КЛАД-3-С-1100х500-MBE(220)-ВН-ВГ</t>
    </r>
  </si>
  <si>
    <r>
      <rPr>
        <sz val="15"/>
        <rFont val="Arial"/>
        <family val="2"/>
        <charset val="204"/>
      </rPr>
      <t>РКДМ-(1100+90)х(500+90)-Ар</t>
    </r>
  </si>
  <si>
    <r>
      <rPr>
        <sz val="15"/>
        <rFont val="Arial"/>
        <family val="2"/>
        <charset val="204"/>
      </rPr>
      <t>ПРОК-1-Н-1100х500</t>
    </r>
  </si>
  <si>
    <r>
      <rPr>
        <sz val="15"/>
        <rFont val="Arial"/>
        <family val="2"/>
        <charset val="204"/>
      </rPr>
      <t>ГОСТ 14918-90</t>
    </r>
  </si>
  <si>
    <r>
      <rPr>
        <sz val="15"/>
        <rFont val="Arial"/>
        <family val="2"/>
        <charset val="204"/>
      </rPr>
      <t>МБФ-5</t>
    </r>
  </si>
  <si>
    <r>
      <rPr>
        <sz val="15"/>
        <rFont val="Arial"/>
        <family val="2"/>
        <charset val="204"/>
      </rPr>
      <t>ВИНГС-М</t>
    </r>
  </si>
  <si>
    <r>
      <rPr>
        <sz val="15"/>
        <rFont val="Arial"/>
        <family val="2"/>
        <charset val="204"/>
      </rPr>
      <t>ВЕЗА</t>
    </r>
  </si>
  <si>
    <r>
      <rPr>
        <sz val="15"/>
        <rFont val="Arial"/>
        <family val="2"/>
        <charset val="204"/>
      </rPr>
      <t>МБФ</t>
    </r>
  </si>
  <si>
    <r>
      <rPr>
        <sz val="15"/>
        <rFont val="Arial"/>
        <family val="2"/>
        <charset val="204"/>
      </rPr>
      <t>м²</t>
    </r>
  </si>
  <si>
    <r>
      <rPr>
        <sz val="15"/>
        <rFont val="Arial"/>
        <family val="2"/>
        <charset val="204"/>
      </rPr>
      <t xml:space="preserve">V=0.522 </t>
    </r>
    <r>
      <rPr>
        <sz val="15"/>
        <rFont val="Arial"/>
        <family val="2"/>
        <charset val="204"/>
      </rPr>
      <t>м³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</si>
  <si>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</si>
  <si>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Заглушка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</si>
  <si>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Отвод-90° из оцинк. стали толщиной S=1.1мм </t>
    </r>
    <r>
      <rPr>
        <sz val="15"/>
        <rFont val="Arial"/>
        <family val="2"/>
        <charset val="204"/>
      </rPr>
      <t>500x1100</t>
    </r>
  </si>
  <si>
    <r>
      <rPr>
        <sz val="15"/>
        <rFont val="Arial"/>
        <family val="2"/>
        <charset val="204"/>
      </rPr>
      <t>Переход из оцинк. стали толщиной S=1.1мм Ø1000/1100x500</t>
    </r>
  </si>
  <si>
    <r>
      <rPr>
        <sz val="15"/>
        <rFont val="Arial"/>
        <family val="2"/>
        <charset val="204"/>
      </rPr>
      <t xml:space="preserve">Тройник-90° из оцинк. стали толщиной S=1.1мм </t>
    </r>
    <r>
      <rPr>
        <sz val="15"/>
        <rFont val="Arial"/>
        <family val="2"/>
        <charset val="204"/>
      </rPr>
      <t>500x1100/500x1100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</si>
  <si>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</si>
  <si>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ПД1</t>
    </r>
  </si>
  <si>
    <r>
      <rPr>
        <sz val="15"/>
        <rFont val="Arial"/>
        <family val="2"/>
        <charset val="204"/>
      </rPr>
      <t>Вентилятор подпора L=11600м3/ч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</si>
  <si>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</si>
  <si>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</si>
  <si>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Сетка для затягивания воздуховодов</t>
    </r>
  </si>
  <si>
    <r>
      <rPr>
        <sz val="15"/>
        <rFont val="Arial"/>
        <family val="2"/>
        <charset val="204"/>
      </rPr>
      <t>Воздуховод из оцинк. стали толщиной S=1.1мм Ø630</t>
    </r>
  </si>
  <si>
    <r>
      <rPr>
        <sz val="15"/>
        <rFont val="Arial"/>
        <family val="2"/>
        <charset val="204"/>
      </rPr>
      <t>Воздуховод из оцинк. стали толщиной S=1.1мм Ø800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</si>
  <si>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900x500</t>
    </r>
  </si>
  <si>
    <r>
      <rPr>
        <sz val="15"/>
        <rFont val="Arial"/>
        <family val="2"/>
        <charset val="204"/>
      </rPr>
      <t>Отвод-45° из оцинк. стали толщиной S=0.7мм Ø800</t>
    </r>
  </si>
  <si>
    <r>
      <rPr>
        <sz val="15"/>
        <rFont val="Arial"/>
        <family val="2"/>
        <charset val="204"/>
      </rPr>
      <t>Отвод-90° из оцинк. стали толщиной S=0.7мм Ø630</t>
    </r>
  </si>
  <si>
    <r>
      <rPr>
        <sz val="15"/>
        <rFont val="Arial"/>
        <family val="2"/>
        <charset val="204"/>
      </rPr>
      <t>Отвод-90° из оцинк. стали толщиной S=0.7мм Ø800</t>
    </r>
  </si>
  <si>
    <r>
      <rPr>
        <sz val="15"/>
        <rFont val="Arial"/>
        <family val="2"/>
        <charset val="204"/>
      </rPr>
      <t xml:space="preserve">Отвод-90° из оцинк. стали толщиной S=0.7мм </t>
    </r>
    <r>
      <rPr>
        <sz val="15"/>
        <rFont val="Arial"/>
        <family val="2"/>
        <charset val="204"/>
      </rPr>
      <t>500x900</t>
    </r>
  </si>
  <si>
    <r>
      <rPr>
        <sz val="15"/>
        <rFont val="Arial"/>
        <family val="2"/>
        <charset val="204"/>
      </rPr>
      <t>Переход из оцинк. стали толщиной S=0.7мм Ø800/Ø630</t>
    </r>
  </si>
  <si>
    <r>
      <rPr>
        <sz val="15"/>
        <rFont val="Arial"/>
        <family val="2"/>
        <charset val="204"/>
      </rPr>
      <t>Переход из оцинк. стали толщиной S=0.7мм Ø630/900x500</t>
    </r>
  </si>
  <si>
    <r>
      <rPr>
        <sz val="15"/>
        <rFont val="Arial"/>
        <family val="2"/>
        <charset val="204"/>
      </rPr>
      <t xml:space="preserve">KSO </t>
    </r>
    <r>
      <rPr>
        <sz val="15"/>
        <rFont val="Arial"/>
        <family val="2"/>
        <charset val="204"/>
      </rPr>
      <t>63-4х30</t>
    </r>
  </si>
  <si>
    <r>
      <rPr>
        <sz val="15"/>
        <rFont val="Arial"/>
        <family val="2"/>
        <charset val="204"/>
      </rPr>
      <t>КЛАД-3-С-900х500-MBE(220)-ВН-ВГ</t>
    </r>
  </si>
  <si>
    <r>
      <rPr>
        <sz val="15"/>
        <rFont val="Arial"/>
        <family val="2"/>
        <charset val="204"/>
      </rPr>
      <t>РКДМ-(900+90)х(500+90)-Ар</t>
    </r>
  </si>
  <si>
    <r>
      <rPr>
        <sz val="15"/>
        <rFont val="Arial"/>
        <family val="2"/>
        <charset val="204"/>
      </rPr>
      <t>ПРОК-1-Н-900х500</t>
    </r>
  </si>
  <si>
    <r>
      <rPr>
        <sz val="15"/>
        <rFont val="Arial"/>
        <family val="2"/>
        <charset val="204"/>
      </rPr>
      <t xml:space="preserve">Тройник-90° из оцинк. стали толщиной S=0.7мм </t>
    </r>
    <r>
      <rPr>
        <sz val="15"/>
        <rFont val="Arial"/>
        <family val="2"/>
        <charset val="204"/>
      </rPr>
      <t>500x900/500x900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</si>
  <si>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</si>
  <si>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ПД2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</si>
  <si>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</si>
  <si>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</si>
  <si>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Воздуховод из оцинк. стали толщиной S=1.1мм Ø630</t>
    </r>
  </si>
  <si>
    <r>
      <rPr>
        <sz val="15"/>
        <rFont val="Arial"/>
        <family val="2"/>
        <charset val="204"/>
      </rPr>
      <t>Воздуховод из оцинк. стали толщиной S=1.1мм Ø800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</si>
  <si>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900x500</t>
    </r>
  </si>
  <si>
    <r>
      <rPr>
        <sz val="15"/>
        <rFont val="Arial"/>
        <family val="2"/>
        <charset val="204"/>
      </rPr>
      <t>Отвод-45° из оцинк. стали толщиной S=0.7мм Ø800</t>
    </r>
  </si>
  <si>
    <r>
      <rPr>
        <sz val="15"/>
        <rFont val="Arial"/>
        <family val="2"/>
        <charset val="204"/>
      </rPr>
      <t>Отвод-90° из оцинк. стали толщиной S=0.7мм Ø630</t>
    </r>
  </si>
  <si>
    <r>
      <rPr>
        <sz val="15"/>
        <rFont val="Arial"/>
        <family val="2"/>
        <charset val="204"/>
      </rPr>
      <t>Отвод-90° из оцинк. стали толщиной S=0.7мм Ø800</t>
    </r>
  </si>
  <si>
    <r>
      <rPr>
        <sz val="15"/>
        <rFont val="Arial"/>
        <family val="2"/>
        <charset val="204"/>
      </rPr>
      <t xml:space="preserve">Отвод-90° из оцинк. стали толщиной S=0.7мм </t>
    </r>
    <r>
      <rPr>
        <sz val="15"/>
        <rFont val="Arial"/>
        <family val="2"/>
        <charset val="204"/>
      </rPr>
      <t>500x900</t>
    </r>
  </si>
  <si>
    <r>
      <rPr>
        <sz val="15"/>
        <rFont val="Arial"/>
        <family val="2"/>
        <charset val="204"/>
      </rPr>
      <t>Переход из оцинк. стали толщиной S=0.7мм Ø800/Ø630</t>
    </r>
  </si>
  <si>
    <r>
      <rPr>
        <sz val="15"/>
        <rFont val="Arial"/>
        <family val="2"/>
        <charset val="204"/>
      </rPr>
      <t>Переход из оцинк. стали толщиной S=0.7мм Ø630/900x500</t>
    </r>
  </si>
  <si>
    <r>
      <rPr>
        <sz val="15"/>
        <rFont val="Arial"/>
        <family val="2"/>
        <charset val="204"/>
      </rPr>
      <t xml:space="preserve">Тройник-90° из оцинк. стали толщиной S=0.7мм </t>
    </r>
    <r>
      <rPr>
        <sz val="15"/>
        <rFont val="Arial"/>
        <family val="2"/>
        <charset val="204"/>
      </rPr>
      <t>500x900/500x900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</si>
  <si>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</si>
  <si>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СП1</t>
    </r>
  </si>
  <si>
    <r>
      <rPr>
        <sz val="15"/>
        <rFont val="Arial"/>
        <family val="2"/>
        <charset val="204"/>
      </rPr>
      <t>Вентилятор подпора L=22500м3/ч</t>
    </r>
  </si>
  <si>
    <r>
      <rPr>
        <sz val="15"/>
        <rFont val="Arial"/>
        <family val="2"/>
        <charset val="204"/>
      </rPr>
      <t xml:space="preserve">KSO </t>
    </r>
    <r>
      <rPr>
        <sz val="15"/>
        <rFont val="Arial"/>
        <family val="2"/>
        <charset val="204"/>
      </rPr>
      <t>90-11х15</t>
    </r>
  </si>
  <si>
    <r>
      <rPr>
        <sz val="15"/>
        <rFont val="Arial"/>
        <family val="2"/>
        <charset val="204"/>
      </rPr>
      <t xml:space="preserve">V=0.47 </t>
    </r>
    <r>
      <rPr>
        <sz val="15"/>
        <rFont val="Arial"/>
        <family val="2"/>
        <charset val="204"/>
      </rPr>
      <t>м³</t>
    </r>
  </si>
  <si>
    <r>
      <rPr>
        <sz val="15"/>
        <rFont val="Arial"/>
        <family val="2"/>
        <charset val="204"/>
      </rPr>
      <t>Воздуховод из оцинк. стали толщиной S=1.1мм Ø900</t>
    </r>
  </si>
  <si>
    <r>
      <rPr>
        <sz val="15"/>
        <rFont val="Arial"/>
        <family val="2"/>
        <charset val="204"/>
      </rPr>
      <t>Воздуховод из оцинк. стали толщиной S=1.1мм Ø1000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</si>
  <si>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1200x600</t>
    </r>
  </si>
  <si>
    <r>
      <rPr>
        <sz val="15"/>
        <rFont val="Arial"/>
        <family val="2"/>
        <charset val="204"/>
      </rPr>
      <t>Отвод-45° из оцинк. стали толщиной S=1.1мм Ø1000</t>
    </r>
  </si>
  <si>
    <r>
      <rPr>
        <sz val="15"/>
        <rFont val="Arial"/>
        <family val="2"/>
        <charset val="204"/>
      </rPr>
      <t xml:space="preserve">Отвод-45° из оцинк. стали толщиной S=1.1мм </t>
    </r>
    <r>
      <rPr>
        <sz val="15"/>
        <rFont val="Arial"/>
        <family val="2"/>
        <charset val="204"/>
      </rPr>
      <t>600x1200</t>
    </r>
  </si>
  <si>
    <r>
      <rPr>
        <sz val="15"/>
        <rFont val="Arial"/>
        <family val="2"/>
        <charset val="204"/>
      </rPr>
      <t>Отвод-90° из оцинк. стали толщиной S=1.1мм Ø1000</t>
    </r>
  </si>
  <si>
    <r>
      <rPr>
        <sz val="15"/>
        <rFont val="Arial"/>
        <family val="2"/>
        <charset val="204"/>
      </rPr>
      <t>Переход из оцинк. стали толщиной S=1.1мм Ø1000/Ø900</t>
    </r>
  </si>
  <si>
    <r>
      <rPr>
        <sz val="15"/>
        <rFont val="Arial"/>
        <family val="2"/>
        <charset val="204"/>
      </rPr>
      <t>Переход из оцинк. стали толщиной S=1.1мм Ø900/1200x600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</si>
  <si>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</si>
  <si>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ВЕ</t>
    </r>
  </si>
  <si>
    <r>
      <rPr>
        <sz val="15"/>
        <rFont val="Arial"/>
        <family val="2"/>
        <charset val="204"/>
      </rPr>
      <t xml:space="preserve">Вентилятор осевой вытяжной </t>
    </r>
    <r>
      <rPr>
        <sz val="15"/>
        <rFont val="Arial"/>
        <family val="2"/>
        <charset val="204"/>
      </rPr>
      <t xml:space="preserve">c </t>
    </r>
    <r>
      <rPr>
        <sz val="15"/>
        <rFont val="Arial"/>
        <family val="2"/>
        <charset val="204"/>
      </rPr>
      <t>антимоскитной сеткой</t>
    </r>
  </si>
  <si>
    <r>
      <rPr>
        <sz val="15"/>
        <rFont val="Arial"/>
        <family val="2"/>
        <charset val="204"/>
      </rPr>
      <t>Решетка регулируемая</t>
    </r>
  </si>
  <si>
    <r>
      <rPr>
        <sz val="15"/>
        <rFont val="Arial"/>
        <family val="2"/>
        <charset val="204"/>
      </rPr>
      <t>Решетка переточная дверная</t>
    </r>
  </si>
  <si>
    <r>
      <rPr>
        <sz val="15"/>
        <rFont val="Arial"/>
        <family val="2"/>
        <charset val="204"/>
      </rPr>
      <t xml:space="preserve">Воздуховод из оцинк. стали толщиной S=0,55мм </t>
    </r>
    <r>
      <rPr>
        <sz val="15"/>
        <rFont val="Arial"/>
        <family val="2"/>
        <charset val="204"/>
      </rPr>
      <t>150x150</t>
    </r>
  </si>
  <si>
    <r>
      <rPr>
        <sz val="15"/>
        <rFont val="Arial"/>
        <family val="2"/>
        <charset val="204"/>
      </rPr>
      <t xml:space="preserve">Воздуховод из оцинк. стали толщиной S=0,7мм </t>
    </r>
    <r>
      <rPr>
        <sz val="15"/>
        <rFont val="Arial"/>
        <family val="2"/>
        <charset val="204"/>
      </rPr>
      <t>600x400</t>
    </r>
  </si>
  <si>
    <r>
      <rPr>
        <sz val="15"/>
        <rFont val="Arial"/>
        <family val="2"/>
        <charset val="204"/>
      </rPr>
      <t xml:space="preserve">Отвод-90° из оцинк. стали толщиной S=0,55мм </t>
    </r>
    <r>
      <rPr>
        <sz val="15"/>
        <rFont val="Arial"/>
        <family val="2"/>
        <charset val="204"/>
      </rPr>
      <t>150x150</t>
    </r>
  </si>
  <si>
    <r>
      <rPr>
        <sz val="15"/>
        <rFont val="Arial"/>
        <family val="2"/>
        <charset val="204"/>
      </rPr>
      <t xml:space="preserve">Отвод-90° из оцинк. стали толщиной S=0,7мм </t>
    </r>
    <r>
      <rPr>
        <sz val="15"/>
        <rFont val="Arial"/>
        <family val="2"/>
        <charset val="204"/>
      </rPr>
      <t>600x400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</si>
  <si>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</si>
  <si>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Участки выхода на кровлю:</t>
    </r>
  </si>
  <si>
    <r>
      <rPr>
        <sz val="15"/>
        <rFont val="Arial"/>
        <family val="2"/>
        <charset val="204"/>
      </rPr>
      <t xml:space="preserve">Воздуховод из оцинк. стали толщиной S=0.7мм </t>
    </r>
    <r>
      <rPr>
        <sz val="15"/>
        <rFont val="Arial"/>
        <family val="2"/>
        <charset val="204"/>
      </rPr>
      <t>300x110</t>
    </r>
  </si>
  <si>
    <r>
      <rPr>
        <sz val="15"/>
        <rFont val="Arial"/>
        <family val="2"/>
        <charset val="204"/>
      </rPr>
      <t xml:space="preserve">Воздуховод из оцинк. стали толщиной S=0.7мм </t>
    </r>
    <r>
      <rPr>
        <sz val="15"/>
        <rFont val="Arial"/>
        <family val="2"/>
        <charset val="204"/>
      </rPr>
      <t>340x300</t>
    </r>
  </si>
  <si>
    <r>
      <rPr>
        <sz val="15"/>
        <rFont val="Arial"/>
        <family val="2"/>
        <charset val="204"/>
      </rPr>
      <t xml:space="preserve">Воздуховод из оцинк. стали толщиной S=0.7мм </t>
    </r>
    <r>
      <rPr>
        <sz val="15"/>
        <rFont val="Arial"/>
        <family val="2"/>
        <charset val="204"/>
      </rPr>
      <t>500x300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</si>
  <si>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</si>
  <si>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sz val="15"/>
        <rFont val="Arial"/>
        <family val="2"/>
        <charset val="204"/>
      </rPr>
      <t>Теплоизоляция S=25мм</t>
    </r>
  </si>
  <si>
    <r>
      <rPr>
        <sz val="15"/>
        <rFont val="Arial"/>
        <family val="2"/>
        <charset val="204"/>
      </rPr>
      <t>ПРОК-1-Н-1200х600</t>
    </r>
  </si>
  <si>
    <r>
      <rPr>
        <sz val="15"/>
        <rFont val="Arial"/>
        <family val="2"/>
        <charset val="204"/>
      </rPr>
      <t>АМР 600х400</t>
    </r>
  </si>
  <si>
    <r>
      <rPr>
        <sz val="15"/>
        <rFont val="Arial"/>
        <family val="2"/>
        <charset val="204"/>
      </rPr>
      <t>АП 300х300</t>
    </r>
  </si>
  <si>
    <r>
      <rPr>
        <sz val="15"/>
        <rFont val="Arial"/>
        <family val="2"/>
        <charset val="204"/>
      </rPr>
      <t>РОВЕН</t>
    </r>
  </si>
  <si>
    <r>
      <rPr>
        <sz val="15"/>
        <rFont val="Arial"/>
        <family val="2"/>
        <charset val="204"/>
      </rPr>
      <t>Арктос</t>
    </r>
  </si>
  <si>
    <r>
      <rPr>
        <sz val="15"/>
        <rFont val="Arial"/>
        <family val="2"/>
        <charset val="204"/>
      </rPr>
      <t>Kflex</t>
    </r>
  </si>
  <si>
    <r>
      <rPr>
        <sz val="15"/>
        <rFont val="Arial"/>
        <family val="2"/>
        <charset val="204"/>
      </rPr>
      <t xml:space="preserve">V=5.655 </t>
    </r>
    <r>
      <rPr>
        <sz val="15"/>
        <rFont val="Arial"/>
        <family val="2"/>
        <charset val="204"/>
      </rPr>
      <t>м³</t>
    </r>
  </si>
  <si>
    <r>
      <rPr>
        <i/>
        <sz val="14"/>
        <rFont val="Arial"/>
        <family val="2"/>
        <charset val="204"/>
      </rPr>
      <t>Общий</t>
    </r>
  </si>
  <si>
    <r>
      <rPr>
        <i/>
        <sz val="14"/>
        <rFont val="Arial"/>
        <family val="2"/>
        <charset val="204"/>
      </rPr>
      <t>1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</si>
  <si>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N0808258694-1</t>
    </r>
  </si>
  <si>
    <r>
      <rPr>
        <i/>
        <sz val="14"/>
        <rFont val="Arial"/>
        <family val="2"/>
        <charset val="204"/>
      </rPr>
      <t>2</t>
    </r>
  </si>
  <si>
    <r>
      <rPr>
        <i/>
        <sz val="14"/>
        <rFont val="Arial"/>
        <family val="2"/>
        <charset val="204"/>
      </rPr>
      <t>3</t>
    </r>
  </si>
  <si>
    <r>
      <rPr>
        <i/>
        <sz val="14"/>
        <rFont val="Arial"/>
        <family val="2"/>
        <charset val="204"/>
      </rPr>
      <t>4</t>
    </r>
  </si>
  <si>
    <r>
      <rPr>
        <i/>
        <sz val="14"/>
        <rFont val="Arial"/>
        <family val="2"/>
        <charset val="204"/>
      </rPr>
      <t>5</t>
    </r>
  </si>
  <si>
    <r>
      <rPr>
        <i/>
        <sz val="14"/>
        <rFont val="Arial"/>
        <family val="2"/>
        <charset val="204"/>
      </rPr>
      <t>6</t>
    </r>
  </si>
  <si>
    <r>
      <rPr>
        <i/>
        <sz val="14"/>
        <rFont val="Arial"/>
        <family val="2"/>
        <charset val="204"/>
      </rPr>
      <t>7</t>
    </r>
  </si>
  <si>
    <r>
      <rPr>
        <i/>
        <sz val="14"/>
        <rFont val="Arial"/>
        <family val="2"/>
        <charset val="204"/>
      </rPr>
      <t>8</t>
    </r>
  </si>
  <si>
    <r>
      <rPr>
        <i/>
        <sz val="14"/>
        <rFont val="Arial"/>
        <family val="2"/>
        <charset val="204"/>
      </rPr>
      <t>9</t>
    </r>
  </si>
  <si>
    <r>
      <rPr>
        <i/>
        <sz val="14"/>
        <rFont val="Arial"/>
        <family val="2"/>
        <charset val="204"/>
      </rPr>
      <t>10</t>
    </r>
  </si>
  <si>
    <r>
      <rPr>
        <i/>
        <sz val="14"/>
        <rFont val="Arial"/>
        <family val="2"/>
        <charset val="204"/>
      </rPr>
      <t>11</t>
    </r>
  </si>
  <si>
    <r>
      <rPr>
        <i/>
        <sz val="14"/>
        <rFont val="Arial"/>
        <family val="2"/>
        <charset val="204"/>
      </rPr>
      <t>12</t>
    </r>
  </si>
  <si>
    <r>
      <rPr>
        <i/>
        <sz val="14"/>
        <rFont val="Arial"/>
        <family val="2"/>
        <charset val="204"/>
      </rPr>
      <t>13</t>
    </r>
  </si>
  <si>
    <r>
      <rPr>
        <i/>
        <sz val="14"/>
        <rFont val="Arial"/>
        <family val="2"/>
        <charset val="204"/>
      </rPr>
      <t>14</t>
    </r>
  </si>
  <si>
    <r>
      <rPr>
        <i/>
        <sz val="14"/>
        <rFont val="Arial"/>
        <family val="2"/>
        <charset val="204"/>
      </rPr>
      <t>15</t>
    </r>
  </si>
  <si>
    <r>
      <rPr>
        <i/>
        <sz val="14"/>
        <rFont val="Arial"/>
        <family val="2"/>
        <charset val="204"/>
      </rPr>
      <t>Наименование и техническая характеристика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</si>
  <si>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Premium FF/Dy65/Py25/Tmax180 </t>
    </r>
    <r>
      <rPr>
        <i/>
        <sz val="14"/>
        <rFont val="Arial"/>
        <family val="2"/>
        <charset val="204"/>
      </rPr>
      <t>сталь ф/ф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</si>
  <si>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</si>
  <si>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Манометр показывающий ТМ510 0..16бар.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</si>
  <si>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Кран под манометр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</si>
  <si>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Грязевик </t>
    </r>
    <r>
      <rPr>
        <i/>
        <sz val="14"/>
        <rFont val="Arial"/>
        <family val="2"/>
        <charset val="204"/>
      </rPr>
      <t xml:space="preserve">DN65/PN16/Tmax150 </t>
    </r>
    <r>
      <rPr>
        <i/>
        <sz val="14"/>
        <rFont val="Arial"/>
        <family val="2"/>
        <charset val="204"/>
      </rPr>
      <t>сталь ф/ф</t>
    </r>
  </si>
  <si>
    <r>
      <rPr>
        <i/>
        <sz val="14"/>
        <rFont val="Arial"/>
        <family val="2"/>
        <charset val="204"/>
      </rPr>
      <t>Воздушник BVS-R/Ду15/Ру63/Тmax180 нерж.сталь р/р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</si>
  <si>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BVS-R/Dy25/Py63/Tmax180 </t>
    </r>
    <r>
      <rPr>
        <i/>
        <sz val="14"/>
        <rFont val="Arial"/>
        <family val="2"/>
        <charset val="204"/>
      </rPr>
      <t>нерж. сталь р/р</t>
    </r>
  </si>
  <si>
    <r>
      <rPr>
        <i/>
        <sz val="14"/>
        <rFont val="Arial"/>
        <family val="2"/>
        <charset val="204"/>
      </rPr>
      <t>Фильтр ФСФ Dу65/Py16/Tmax200 чугун ф/ф</t>
    </r>
  </si>
  <si>
    <r>
      <rPr>
        <i/>
        <sz val="14"/>
        <rFont val="Arial"/>
        <family val="2"/>
        <charset val="204"/>
      </rPr>
      <t>Шкаф учета с тепловычислителем ТВ7-04М(RS232)</t>
    </r>
  </si>
  <si>
    <r>
      <rPr>
        <i/>
        <sz val="14"/>
        <rFont val="Arial"/>
        <family val="2"/>
        <charset val="204"/>
      </rPr>
      <t>Преобразователь давления СДВ-И 4-20 мА/0-16 бар</t>
    </r>
  </si>
  <si>
    <r>
      <rPr>
        <i/>
        <sz val="14"/>
        <rFont val="Arial"/>
        <family val="2"/>
        <charset val="204"/>
      </rPr>
      <t xml:space="preserve">Расходомер Питерфлоу Dy40/Фланцевый/Qmax </t>
    </r>
    <r>
      <rPr>
        <i/>
        <sz val="14"/>
        <rFont val="Arial"/>
        <family val="2"/>
        <charset val="204"/>
      </rPr>
      <t xml:space="preserve">22/Tmax150/PN16 </t>
    </r>
    <r>
      <rPr>
        <i/>
        <sz val="14"/>
        <rFont val="Arial"/>
        <family val="2"/>
        <charset val="204"/>
      </rPr>
      <t>тип РС 40-22-А-Ф1</t>
    </r>
  </si>
  <si>
    <r>
      <rPr>
        <i/>
        <sz val="14"/>
        <rFont val="Arial"/>
        <family val="2"/>
        <charset val="204"/>
      </rPr>
      <t>Термометр сопротивления КТС-Б-Рт100-В-х4-П-3-80/6-50-Е</t>
    </r>
  </si>
  <si>
    <r>
      <rPr>
        <i/>
        <sz val="14"/>
        <rFont val="Arial"/>
        <family val="2"/>
        <charset val="204"/>
      </rPr>
      <t>Спускник Ду25/Ру40/Тmax180 сталь с/с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</si>
  <si>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BVS-R/Dy25/Py63/Tmax180 </t>
    </r>
    <r>
      <rPr>
        <i/>
        <sz val="14"/>
        <rFont val="Arial"/>
        <family val="2"/>
        <charset val="204"/>
      </rPr>
      <t>нерж. сталь р/р</t>
    </r>
  </si>
  <si>
    <r>
      <rPr>
        <i/>
        <sz val="14"/>
        <rFont val="Arial"/>
        <family val="2"/>
        <charset val="204"/>
      </rPr>
      <t>Фильтр ФСФ Dу25/Py16/Tmax200 чугун ф/ф</t>
    </r>
  </si>
  <si>
    <r>
      <rPr>
        <i/>
        <sz val="14"/>
        <rFont val="Arial"/>
        <family val="2"/>
        <charset val="204"/>
      </rPr>
      <t>Тип, марка, обозначение документа, опросного листа</t>
    </r>
  </si>
  <si>
    <r>
      <rPr>
        <i/>
        <sz val="14"/>
        <rFont val="Arial"/>
        <family val="2"/>
        <charset val="204"/>
      </rPr>
      <t>RJIP-FF</t>
    </r>
  </si>
  <si>
    <r>
      <rPr>
        <i/>
        <sz val="14"/>
        <rFont val="Arial"/>
        <family val="2"/>
        <charset val="204"/>
      </rPr>
      <t>BVS-R</t>
    </r>
  </si>
  <si>
    <r>
      <rPr>
        <i/>
        <sz val="14"/>
        <rFont val="Arial"/>
        <family val="2"/>
        <charset val="204"/>
      </rPr>
      <t>ФСФ</t>
    </r>
  </si>
  <si>
    <r>
      <rPr>
        <i/>
        <sz val="14"/>
        <rFont val="Arial"/>
        <family val="2"/>
        <charset val="204"/>
      </rPr>
      <t>Питерфлоу РС (кл. А)</t>
    </r>
  </si>
  <si>
    <r>
      <rPr>
        <i/>
        <sz val="14"/>
        <rFont val="Arial"/>
        <family val="2"/>
        <charset val="204"/>
      </rPr>
      <t>Код оборудования, изделия, материала</t>
    </r>
  </si>
  <si>
    <r>
      <rPr>
        <i/>
        <sz val="14"/>
        <rFont val="Arial"/>
        <family val="2"/>
        <charset val="204"/>
      </rPr>
      <t>Завод-изготовитель</t>
    </r>
  </si>
  <si>
    <r>
      <rPr>
        <i/>
        <sz val="14"/>
        <rFont val="Arial"/>
        <family val="2"/>
        <charset val="204"/>
      </rPr>
      <t>Ридан</t>
    </r>
  </si>
  <si>
    <r>
      <rPr>
        <i/>
        <sz val="14"/>
        <rFont val="Arial"/>
        <family val="2"/>
        <charset val="204"/>
      </rPr>
      <t>Термотроник</t>
    </r>
  </si>
  <si>
    <r>
      <rPr>
        <i/>
        <sz val="14"/>
        <rFont val="Arial"/>
        <family val="2"/>
        <charset val="204"/>
      </rPr>
      <t>Единица измерения</t>
    </r>
  </si>
  <si>
    <r>
      <rPr>
        <i/>
        <sz val="14"/>
        <rFont val="Arial"/>
        <family val="2"/>
        <charset val="204"/>
      </rPr>
      <t>шт.</t>
    </r>
  </si>
  <si>
    <r>
      <rPr>
        <i/>
        <sz val="14"/>
        <rFont val="Arial"/>
        <family val="2"/>
        <charset val="204"/>
      </rPr>
      <t>Масса единицы кг</t>
    </r>
  </si>
  <si>
    <r>
      <rPr>
        <i/>
        <sz val="14"/>
        <rFont val="Arial"/>
        <family val="2"/>
        <charset val="204"/>
      </rPr>
      <t>Примечание</t>
    </r>
  </si>
  <si>
    <r>
      <rPr>
        <i/>
        <sz val="14"/>
        <rFont val="Arial"/>
        <family val="2"/>
        <charset val="204"/>
      </rPr>
      <t>16</t>
    </r>
  </si>
  <si>
    <r>
      <rPr>
        <i/>
        <sz val="14"/>
        <rFont val="Arial"/>
        <family val="2"/>
        <charset val="204"/>
      </rPr>
      <t>17</t>
    </r>
  </si>
  <si>
    <r>
      <rPr>
        <i/>
        <sz val="14"/>
        <rFont val="Arial"/>
        <family val="2"/>
        <charset val="204"/>
      </rPr>
      <t>18</t>
    </r>
  </si>
  <si>
    <r>
      <rPr>
        <i/>
        <sz val="14"/>
        <rFont val="Arial"/>
        <family val="2"/>
        <charset val="204"/>
      </rPr>
      <t>19</t>
    </r>
  </si>
  <si>
    <r>
      <rPr>
        <i/>
        <sz val="14"/>
        <rFont val="Arial"/>
        <family val="2"/>
        <charset val="204"/>
      </rPr>
      <t>20</t>
    </r>
  </si>
  <si>
    <r>
      <rPr>
        <i/>
        <sz val="14"/>
        <rFont val="Arial"/>
        <family val="2"/>
        <charset val="204"/>
      </rPr>
      <t>21</t>
    </r>
  </si>
  <si>
    <r>
      <rPr>
        <i/>
        <sz val="14"/>
        <rFont val="Arial"/>
        <family val="2"/>
        <charset val="204"/>
      </rPr>
      <t>22</t>
    </r>
  </si>
  <si>
    <r>
      <rPr>
        <i/>
        <sz val="14"/>
        <rFont val="Arial"/>
        <family val="2"/>
        <charset val="204"/>
      </rPr>
      <t xml:space="preserve">Расходомер Питерфлоу Dy20/Межфланцевый/Qmax </t>
    </r>
    <r>
      <rPr>
        <i/>
        <sz val="14"/>
        <rFont val="Arial"/>
        <family val="2"/>
        <charset val="204"/>
      </rPr>
      <t xml:space="preserve">6/Tmax150/PN16 </t>
    </r>
    <r>
      <rPr>
        <i/>
        <sz val="14"/>
        <rFont val="Arial"/>
        <family val="2"/>
        <charset val="204"/>
      </rPr>
      <t xml:space="preserve">тип </t>
    </r>
    <r>
      <rPr>
        <i/>
        <sz val="14"/>
        <rFont val="Arial"/>
        <family val="2"/>
        <charset val="204"/>
      </rPr>
      <t xml:space="preserve">PC </t>
    </r>
    <r>
      <rPr>
        <i/>
        <sz val="14"/>
        <rFont val="Arial"/>
        <family val="2"/>
        <charset val="204"/>
      </rPr>
      <t>20-6-А-С</t>
    </r>
  </si>
  <si>
    <r>
      <rPr>
        <i/>
        <sz val="14"/>
        <rFont val="Arial"/>
        <family val="2"/>
        <charset val="204"/>
      </rPr>
      <t>Спускник Ду15/Ру40/Тmax180 сталь с/с</t>
    </r>
  </si>
  <si>
    <r>
      <rPr>
        <i/>
        <sz val="14"/>
        <rFont val="Arial"/>
        <family val="2"/>
        <charset val="204"/>
      </rPr>
      <t xml:space="preserve">Теплоизоляция труб из мин. ваты марки </t>
    </r>
    <r>
      <rPr>
        <i/>
        <sz val="14"/>
        <rFont val="Arial"/>
        <family val="2"/>
        <charset val="204"/>
      </rPr>
      <t xml:space="preserve">Rockwool </t>
    </r>
    <r>
      <rPr>
        <i/>
        <sz val="14"/>
        <rFont val="Arial"/>
        <family val="2"/>
        <charset val="204"/>
      </rPr>
      <t>с оцинковкой</t>
    </r>
  </si>
  <si>
    <r>
      <rPr>
        <i/>
        <sz val="14"/>
        <rFont val="Arial"/>
        <family val="2"/>
        <charset val="204"/>
      </rPr>
      <t xml:space="preserve">Шаровой кран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</si>
  <si>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FF/Ду65/Ру16/Тmax150 сталь ф/ф</t>
    </r>
  </si>
  <si>
    <r>
      <rPr>
        <i/>
        <sz val="14"/>
        <rFont val="Arial"/>
        <family val="2"/>
        <charset val="204"/>
      </rPr>
      <t xml:space="preserve">Регулятор перепада давлений </t>
    </r>
    <r>
      <rPr>
        <i/>
        <sz val="14"/>
        <rFont val="Arial"/>
        <family val="2"/>
        <charset val="204"/>
      </rPr>
      <t xml:space="preserve">VFG-2R/Dy32/Kvs16/Tmax150/Pmax16 </t>
    </r>
    <r>
      <rPr>
        <i/>
        <sz val="14"/>
        <rFont val="Arial"/>
        <family val="2"/>
        <charset val="204"/>
      </rPr>
      <t>сталь ф/ф</t>
    </r>
  </si>
  <si>
    <r>
      <rPr>
        <i/>
        <sz val="14"/>
        <rFont val="Arial"/>
        <family val="2"/>
        <charset val="204"/>
      </rPr>
      <t>Регулирующий блок</t>
    </r>
  </si>
  <si>
    <r>
      <rPr>
        <i/>
        <sz val="14"/>
        <rFont val="Arial"/>
        <family val="2"/>
        <charset val="204"/>
      </rPr>
      <t>VFG-2R</t>
    </r>
  </si>
  <si>
    <r>
      <rPr>
        <i/>
        <sz val="14"/>
        <rFont val="Arial"/>
        <family val="2"/>
        <charset val="204"/>
      </rPr>
      <t>AFP-R</t>
    </r>
  </si>
  <si>
    <r>
      <rPr>
        <i/>
        <sz val="12"/>
        <rFont val="Arial"/>
        <family val="2"/>
        <charset val="204"/>
      </rPr>
      <t>Диапазон: 0.1-0.7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</si>
  <si>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N0808258694-2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</si>
  <si>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FF/Ду65/Ру16/Тmax150 сталь ф/ф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</si>
  <si>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FF/Ду40/Ру16/Тmax150 сталь ф/ф</t>
    </r>
  </si>
  <si>
    <r>
      <rPr>
        <i/>
        <sz val="14"/>
        <rFont val="Arial"/>
        <family val="2"/>
        <charset val="204"/>
      </rPr>
      <t xml:space="preserve">Манометр показывающий ТМ510 0..16бар.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</si>
  <si>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Кран под манометр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</si>
  <si>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Регулирующий клапан </t>
    </r>
    <r>
      <rPr>
        <i/>
        <sz val="14"/>
        <rFont val="Arial"/>
        <family val="2"/>
        <charset val="204"/>
      </rPr>
      <t xml:space="preserve">VFM-2R/Dy25/Kvs10/Tmax150/Pmax25 </t>
    </r>
    <r>
      <rPr>
        <i/>
        <sz val="14"/>
        <rFont val="Arial"/>
        <family val="2"/>
        <charset val="204"/>
      </rPr>
      <t>чугун ф/ф</t>
    </r>
  </si>
  <si>
    <r>
      <rPr>
        <i/>
        <sz val="14"/>
        <rFont val="Arial"/>
        <family val="2"/>
        <charset val="204"/>
      </rPr>
      <t xml:space="preserve">Электропривод </t>
    </r>
    <r>
      <rPr>
        <i/>
        <sz val="14"/>
        <rFont val="Arial"/>
        <family val="2"/>
        <charset val="204"/>
      </rPr>
      <t xml:space="preserve">ARV-1000R </t>
    </r>
    <r>
      <rPr>
        <i/>
        <sz val="14"/>
        <rFont val="Arial"/>
        <family val="2"/>
        <charset val="204"/>
      </rPr>
      <t xml:space="preserve">, </t>
    </r>
    <r>
      <rPr>
        <i/>
        <sz val="14"/>
        <rFont val="Arial"/>
        <family val="2"/>
        <charset val="204"/>
      </rPr>
      <t xml:space="preserve">230V, </t>
    </r>
    <r>
      <rPr>
        <i/>
        <sz val="14"/>
        <rFont val="Arial"/>
        <family val="2"/>
        <charset val="204"/>
      </rPr>
      <t>импульсное управление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</si>
  <si>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L=64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</si>
  <si>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Воздушник Ду15/Ру40/Тmax180 сталь с/с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</si>
  <si>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</si>
  <si>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Воздушник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</si>
  <si>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Манометр показывающий ТМ510 0..10бар.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</si>
  <si>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VFM-2R</t>
    </r>
  </si>
  <si>
    <r>
      <rPr>
        <i/>
        <sz val="14"/>
        <rFont val="Arial"/>
        <family val="2"/>
        <charset val="204"/>
      </rPr>
      <t>ARV-1000R</t>
    </r>
  </si>
  <si>
    <r>
      <rPr>
        <i/>
        <sz val="14"/>
        <rFont val="Arial"/>
        <family val="2"/>
        <charset val="204"/>
      </rPr>
      <t>BVR-R</t>
    </r>
  </si>
  <si>
    <r>
      <rPr>
        <i/>
        <sz val="14"/>
        <rFont val="Arial"/>
        <family val="2"/>
        <charset val="204"/>
      </rPr>
      <t>23</t>
    </r>
  </si>
  <si>
    <r>
      <rPr>
        <i/>
        <sz val="14"/>
        <rFont val="Arial"/>
        <family val="2"/>
        <charset val="204"/>
      </rPr>
      <t>24</t>
    </r>
  </si>
  <si>
    <r>
      <rPr>
        <i/>
        <sz val="14"/>
        <rFont val="Arial"/>
        <family val="2"/>
        <charset val="204"/>
      </rPr>
      <t>25</t>
    </r>
  </si>
  <si>
    <r>
      <rPr>
        <i/>
        <sz val="14"/>
        <rFont val="Arial"/>
        <family val="2"/>
        <charset val="204"/>
      </rPr>
      <t>26</t>
    </r>
  </si>
  <si>
    <r>
      <rPr>
        <i/>
        <sz val="14"/>
        <rFont val="Arial"/>
        <family val="2"/>
        <charset val="204"/>
      </rPr>
      <t>27</t>
    </r>
  </si>
  <si>
    <r>
      <rPr>
        <i/>
        <sz val="14"/>
        <rFont val="Arial"/>
        <family val="2"/>
        <charset val="204"/>
      </rPr>
      <t>28</t>
    </r>
  </si>
  <si>
    <r>
      <rPr>
        <i/>
        <sz val="14"/>
        <rFont val="Arial"/>
        <family val="2"/>
        <charset val="204"/>
      </rPr>
      <t>29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</si>
  <si>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</t>
    </r>
  </si>
  <si>
    <r>
      <rPr>
        <i/>
        <sz val="14"/>
        <rFont val="Arial"/>
        <family val="2"/>
        <charset val="204"/>
      </rPr>
      <t xml:space="preserve">Термометр биметаллический O80мм 0..120С, </t>
    </r>
    <r>
      <rPr>
        <i/>
        <sz val="14"/>
        <rFont val="Arial"/>
        <family val="2"/>
        <charset val="204"/>
      </rPr>
      <t xml:space="preserve">L=64 </t>
    </r>
    <r>
      <rPr>
        <i/>
        <sz val="14"/>
        <rFont val="Arial"/>
        <family val="2"/>
        <charset val="204"/>
      </rPr>
      <t xml:space="preserve">мм. 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</si>
  <si>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</si>
  <si>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Термометр биметаллический O80мм 0..120С, </t>
    </r>
    <r>
      <rPr>
        <i/>
        <sz val="14"/>
        <rFont val="Arial"/>
        <family val="2"/>
        <charset val="204"/>
      </rPr>
      <t xml:space="preserve">L=64 </t>
    </r>
    <r>
      <rPr>
        <i/>
        <sz val="14"/>
        <rFont val="Arial"/>
        <family val="2"/>
        <charset val="204"/>
      </rPr>
      <t xml:space="preserve">мм. 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</si>
  <si>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Моноблок НН-14</t>
    </r>
  </si>
  <si>
    <r>
      <rPr>
        <i/>
        <sz val="14"/>
        <rFont val="Arial"/>
        <family val="2"/>
        <charset val="204"/>
      </rPr>
      <t xml:space="preserve">Датчик температуры </t>
    </r>
    <r>
      <rPr>
        <i/>
        <sz val="14"/>
        <rFont val="Arial"/>
        <family val="2"/>
        <charset val="204"/>
      </rPr>
      <t xml:space="preserve">MBT 5250R </t>
    </r>
    <r>
      <rPr>
        <i/>
        <sz val="14"/>
        <rFont val="Arial"/>
        <family val="2"/>
        <charset val="204"/>
      </rPr>
      <t xml:space="preserve">погружной с гильзой из нерж. стали,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</t>
    </r>
    <r>
      <rPr>
        <i/>
        <sz val="14"/>
        <rFont val="Arial"/>
        <family val="2"/>
        <charset val="204"/>
      </rPr>
      <t>Pt1000, T=-50</t>
    </r>
    <r>
      <rPr>
        <i/>
        <sz val="14"/>
        <rFont val="Arial"/>
        <family val="2"/>
        <charset val="204"/>
      </rPr>
      <t xml:space="preserve">...+200°С, </t>
    </r>
    <r>
      <rPr>
        <i/>
        <sz val="14"/>
        <rFont val="Arial"/>
        <family val="2"/>
        <charset val="204"/>
      </rPr>
      <t>G1/2", IP65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</si>
  <si>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Ду25/Ру40/Tmax120 латунь р/р</t>
    </r>
  </si>
  <si>
    <r>
      <rPr>
        <i/>
        <sz val="14"/>
        <rFont val="Arial"/>
        <family val="2"/>
        <charset val="204"/>
      </rPr>
      <t xml:space="preserve">Обратный клапан </t>
    </r>
    <r>
      <rPr>
        <i/>
        <sz val="14"/>
        <rFont val="Arial"/>
        <family val="2"/>
        <charset val="204"/>
      </rPr>
      <t xml:space="preserve">NRV-R/Dy25/Py25/Tmax110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</si>
  <si>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Насос </t>
    </r>
    <r>
      <rPr>
        <i/>
        <sz val="14"/>
        <rFont val="Arial"/>
        <family val="2"/>
        <charset val="204"/>
      </rPr>
      <t>RWS 25-80S</t>
    </r>
  </si>
  <si>
    <r>
      <rPr>
        <i/>
        <sz val="14"/>
        <rFont val="Arial"/>
        <family val="2"/>
        <charset val="204"/>
      </rPr>
      <t xml:space="preserve">Преобразователь давления </t>
    </r>
    <r>
      <rPr>
        <i/>
        <sz val="14"/>
        <rFont val="Arial"/>
        <family val="2"/>
        <charset val="204"/>
      </rPr>
      <t xml:space="preserve">MBS1700R. </t>
    </r>
    <r>
      <rPr>
        <i/>
        <sz val="14"/>
        <rFont val="Arial"/>
        <family val="2"/>
        <charset val="204"/>
      </rPr>
      <t>4-20 мА/0-10 бар</t>
    </r>
  </si>
  <si>
    <r>
      <rPr>
        <i/>
        <sz val="14"/>
        <rFont val="Arial"/>
        <family val="2"/>
        <charset val="204"/>
      </rPr>
      <t xml:space="preserve">Предохранительный клапан 3/4" </t>
    </r>
    <r>
      <rPr>
        <i/>
        <sz val="14"/>
        <rFont val="Arial"/>
        <family val="2"/>
        <charset val="204"/>
      </rPr>
      <t xml:space="preserve">OR </t>
    </r>
    <r>
      <rPr>
        <i/>
        <sz val="14"/>
        <rFont val="Arial"/>
        <family val="2"/>
        <charset val="204"/>
      </rPr>
      <t>1832.020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</si>
  <si>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BVR-R/Dy25/Py40/Tmax120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</si>
  <si>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Обратный клапан </t>
    </r>
    <r>
      <rPr>
        <i/>
        <sz val="14"/>
        <rFont val="Arial"/>
        <family val="2"/>
        <charset val="204"/>
      </rPr>
      <t xml:space="preserve">NRV-R/Dy50/Py25/Tmax110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</si>
  <si>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Фильтр </t>
    </r>
    <r>
      <rPr>
        <i/>
        <sz val="14"/>
        <rFont val="Arial"/>
        <family val="2"/>
        <charset val="204"/>
      </rPr>
      <t xml:space="preserve">FVR-R/Dy50/Py25/Tmax130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</si>
  <si>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Ду50/Ру40/Tmax120 латунь р/р</t>
    </r>
  </si>
  <si>
    <r>
      <rPr>
        <i/>
        <sz val="14"/>
        <rFont val="Arial"/>
        <family val="2"/>
        <charset val="204"/>
      </rPr>
      <t>Теплоизоляция теплообменника НН№14 (моноблок); 41-50 пл.</t>
    </r>
  </si>
  <si>
    <r>
      <rPr>
        <i/>
        <sz val="14"/>
        <rFont val="Arial"/>
        <family val="2"/>
        <charset val="204"/>
      </rPr>
      <t xml:space="preserve">Теплоизоляция труб из мин. ваты марки </t>
    </r>
    <r>
      <rPr>
        <i/>
        <sz val="14"/>
        <rFont val="Arial"/>
        <family val="2"/>
        <charset val="204"/>
      </rPr>
      <t xml:space="preserve">Rockwool </t>
    </r>
    <r>
      <rPr>
        <i/>
        <sz val="14"/>
        <rFont val="Arial"/>
        <family val="2"/>
        <charset val="204"/>
      </rPr>
      <t>с оцинковкой</t>
    </r>
  </si>
  <si>
    <r>
      <rPr>
        <i/>
        <sz val="14"/>
        <rFont val="Arial"/>
        <family val="2"/>
        <charset val="204"/>
      </rPr>
      <t xml:space="preserve">Фильтр </t>
    </r>
    <r>
      <rPr>
        <i/>
        <sz val="14"/>
        <rFont val="Arial"/>
        <family val="2"/>
        <charset val="204"/>
      </rPr>
      <t xml:space="preserve">FVR-R/Dy25/Py25/Tmax130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</si>
  <si>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>НН14</t>
    </r>
  </si>
  <si>
    <r>
      <rPr>
        <i/>
        <sz val="14"/>
        <rFont val="Arial"/>
        <family val="2"/>
        <charset val="204"/>
      </rPr>
      <t>MBT</t>
    </r>
  </si>
  <si>
    <r>
      <rPr>
        <i/>
        <sz val="14"/>
        <rFont val="Arial"/>
        <family val="2"/>
        <charset val="204"/>
      </rPr>
      <t>NRV-R</t>
    </r>
  </si>
  <si>
    <r>
      <rPr>
        <i/>
        <sz val="14"/>
        <rFont val="Arial"/>
        <family val="2"/>
        <charset val="204"/>
      </rPr>
      <t>RW</t>
    </r>
  </si>
  <si>
    <r>
      <rPr>
        <i/>
        <sz val="14"/>
        <rFont val="Arial"/>
        <family val="2"/>
        <charset val="204"/>
      </rPr>
      <t>MBS</t>
    </r>
  </si>
  <si>
    <r>
      <rPr>
        <i/>
        <sz val="14"/>
        <rFont val="Arial"/>
        <family val="2"/>
        <charset val="204"/>
      </rPr>
      <t>1832</t>
    </r>
  </si>
  <si>
    <r>
      <rPr>
        <i/>
        <sz val="14"/>
        <rFont val="Arial"/>
        <family val="2"/>
        <charset val="204"/>
      </rPr>
      <t>FVR-R</t>
    </r>
  </si>
  <si>
    <r>
      <rPr>
        <i/>
        <sz val="14"/>
        <rFont val="Arial"/>
        <family val="2"/>
        <charset val="204"/>
      </rPr>
      <t>НН№14 (моноблок); 41-50 пл.</t>
    </r>
  </si>
  <si>
    <r>
      <rPr>
        <i/>
        <sz val="21"/>
        <rFont val="Arial"/>
        <family val="2"/>
        <charset val="204"/>
      </rPr>
      <t>2</t>
    </r>
  </si>
  <si>
    <r>
      <rPr>
        <i/>
        <sz val="12"/>
        <rFont val="Arial"/>
        <family val="2"/>
        <charset val="204"/>
      </rPr>
      <t>Расч</t>
    </r>
  </si>
  <si>
    <r>
      <rPr>
        <i/>
        <sz val="12"/>
        <rFont val="Arial"/>
        <family val="2"/>
        <charset val="204"/>
      </rPr>
      <t xml:space="preserve">ет № </t>
    </r>
    <r>
      <rPr>
        <i/>
        <sz val="12"/>
        <rFont val="Arial"/>
        <family val="2"/>
        <charset val="204"/>
      </rPr>
      <t>w501453931, w50145</t>
    </r>
  </si>
  <si>
    <r>
      <rPr>
        <i/>
        <sz val="12"/>
        <rFont val="Arial"/>
        <family val="2"/>
        <charset val="204"/>
      </rPr>
      <t>393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</si>
  <si>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N0808258694-3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</si>
  <si>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FF/Ду65/Ру16/Тmax150 сталь ф/ф</t>
    </r>
  </si>
  <si>
    <r>
      <rPr>
        <i/>
        <sz val="14"/>
        <rFont val="Arial"/>
        <family val="2"/>
        <charset val="204"/>
      </rPr>
      <t xml:space="preserve">Манометр показывающий ТМ510 0..16бар.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</si>
  <si>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Кран под манометр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</si>
  <si>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</si>
  <si>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Регулирующий клапан </t>
    </r>
    <r>
      <rPr>
        <i/>
        <sz val="14"/>
        <rFont val="Arial"/>
        <family val="2"/>
        <charset val="204"/>
      </rPr>
      <t xml:space="preserve">VFM-2R/Dy32/Kvs16/Tmax150/Pmax25 </t>
    </r>
    <r>
      <rPr>
        <i/>
        <sz val="14"/>
        <rFont val="Arial"/>
        <family val="2"/>
        <charset val="204"/>
      </rPr>
      <t>чугун ф/ф</t>
    </r>
  </si>
  <si>
    <r>
      <rPr>
        <i/>
        <sz val="14"/>
        <rFont val="Arial"/>
        <family val="2"/>
        <charset val="204"/>
      </rPr>
      <t xml:space="preserve">Электропривод </t>
    </r>
    <r>
      <rPr>
        <i/>
        <sz val="14"/>
        <rFont val="Arial"/>
        <family val="2"/>
        <charset val="204"/>
      </rPr>
      <t xml:space="preserve">ARV-1000R </t>
    </r>
    <r>
      <rPr>
        <i/>
        <sz val="14"/>
        <rFont val="Arial"/>
        <family val="2"/>
        <charset val="204"/>
      </rPr>
      <t xml:space="preserve">, </t>
    </r>
    <r>
      <rPr>
        <i/>
        <sz val="14"/>
        <rFont val="Arial"/>
        <family val="2"/>
        <charset val="204"/>
      </rPr>
      <t xml:space="preserve">230V, </t>
    </r>
    <r>
      <rPr>
        <i/>
        <sz val="14"/>
        <rFont val="Arial"/>
        <family val="2"/>
        <charset val="204"/>
      </rPr>
      <t>импульсное управление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</si>
  <si>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Premium WW/Dy50/Py40/Tmax180 </t>
    </r>
    <r>
      <rPr>
        <i/>
        <sz val="14"/>
        <rFont val="Arial"/>
        <family val="2"/>
        <charset val="204"/>
      </rPr>
      <t>сталь с/с</t>
    </r>
  </si>
  <si>
    <r>
      <rPr>
        <i/>
        <sz val="14"/>
        <rFont val="Arial"/>
        <family val="2"/>
        <charset val="204"/>
      </rPr>
      <t xml:space="preserve">Воздушник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</si>
  <si>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Манометр показывающий ТМ510 0..10бар.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</si>
  <si>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Термометр биметаллический O80мм 0..120С,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</si>
  <si>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Дисковый затвор РИДАН-ЗДМ/Dy100/Py16/Tmax120 чугун м/ф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</si>
  <si>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Ду50/Ру40/Tmax120 латунь р/р</t>
    </r>
  </si>
  <si>
    <r>
      <rPr>
        <i/>
        <sz val="14"/>
        <rFont val="Arial"/>
        <family val="2"/>
        <charset val="204"/>
      </rPr>
      <t>RJIP-WW</t>
    </r>
  </si>
  <si>
    <r>
      <rPr>
        <i/>
        <sz val="14"/>
        <rFont val="Arial"/>
        <family val="2"/>
        <charset val="204"/>
      </rPr>
      <t>РИДАН-ЗДМ</t>
    </r>
  </si>
  <si>
    <r>
      <rPr>
        <i/>
        <sz val="14"/>
        <rFont val="Arial"/>
        <family val="2"/>
        <charset val="204"/>
      </rPr>
      <t>Теплообменник НН-14A-42-TKTL83</t>
    </r>
  </si>
  <si>
    <r>
      <rPr>
        <i/>
        <sz val="14"/>
        <rFont val="Arial"/>
        <family val="2"/>
        <charset val="204"/>
      </rPr>
      <t>Теплоизоляция теплообменника</t>
    </r>
  </si>
  <si>
    <r>
      <rPr>
        <i/>
        <sz val="14"/>
        <rFont val="Arial"/>
        <family val="2"/>
        <charset val="204"/>
      </rPr>
      <t xml:space="preserve">Датчик температуры </t>
    </r>
    <r>
      <rPr>
        <i/>
        <sz val="14"/>
        <rFont val="Arial"/>
        <family val="2"/>
        <charset val="204"/>
      </rPr>
      <t xml:space="preserve">MBT 5250R </t>
    </r>
    <r>
      <rPr>
        <i/>
        <sz val="14"/>
        <rFont val="Arial"/>
        <family val="2"/>
        <charset val="204"/>
      </rPr>
      <t xml:space="preserve">погружной с гильзой из нерж. стали,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</t>
    </r>
    <r>
      <rPr>
        <i/>
        <sz val="14"/>
        <rFont val="Arial"/>
        <family val="2"/>
        <charset val="204"/>
      </rPr>
      <t>Pt1000, T=-50</t>
    </r>
    <r>
      <rPr>
        <i/>
        <sz val="14"/>
        <rFont val="Arial"/>
        <family val="2"/>
        <charset val="204"/>
      </rPr>
      <t xml:space="preserve">...+200°С, </t>
    </r>
    <r>
      <rPr>
        <i/>
        <sz val="14"/>
        <rFont val="Arial"/>
        <family val="2"/>
        <charset val="204"/>
      </rPr>
      <t>G1/2", IP65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</si>
  <si>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BVR-R/Dy25/Py40/Tmax120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</si>
  <si>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>Обратный клапан РИДАН-ЗОД/Ду100/Ру16/Тмаx120 чугун м/ф</t>
    </r>
  </si>
  <si>
    <r>
      <rPr>
        <i/>
        <sz val="14"/>
        <rFont val="Arial"/>
        <family val="2"/>
        <charset val="204"/>
      </rPr>
      <t xml:space="preserve">Насос </t>
    </r>
    <r>
      <rPr>
        <i/>
        <sz val="14"/>
        <rFont val="Arial"/>
        <family val="2"/>
        <charset val="204"/>
      </rPr>
      <t>RWS 65-120FT</t>
    </r>
  </si>
  <si>
    <r>
      <rPr>
        <i/>
        <sz val="14"/>
        <rFont val="Arial"/>
        <family val="2"/>
        <charset val="204"/>
      </rPr>
      <t xml:space="preserve">Преобразователь давления </t>
    </r>
    <r>
      <rPr>
        <i/>
        <sz val="14"/>
        <rFont val="Arial"/>
        <family val="2"/>
        <charset val="204"/>
      </rPr>
      <t xml:space="preserve">MBS1700R. </t>
    </r>
    <r>
      <rPr>
        <i/>
        <sz val="14"/>
        <rFont val="Arial"/>
        <family val="2"/>
        <charset val="204"/>
      </rPr>
      <t>4-20 мА/0-10 бар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</si>
  <si>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Ду25/Ру40/Tmax120 латунь р/р</t>
    </r>
  </si>
  <si>
    <r>
      <rPr>
        <i/>
        <sz val="14"/>
        <rFont val="Arial"/>
        <family val="2"/>
        <charset val="204"/>
      </rPr>
      <t xml:space="preserve">Обратный клапан </t>
    </r>
    <r>
      <rPr>
        <i/>
        <sz val="14"/>
        <rFont val="Arial"/>
        <family val="2"/>
        <charset val="204"/>
      </rPr>
      <t xml:space="preserve">NRV-R/Dy25/Py25/Tmax110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</si>
  <si>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</si>
  <si>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Соленоидный клапан </t>
    </r>
    <r>
      <rPr>
        <i/>
        <sz val="14"/>
        <rFont val="Arial"/>
        <family val="2"/>
        <charset val="204"/>
      </rPr>
      <t xml:space="preserve">EV220WR/Dy25/Kvs10.2/Tmax130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</si>
  <si>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Прессостат </t>
    </r>
    <r>
      <rPr>
        <i/>
        <sz val="14"/>
        <rFont val="Arial"/>
        <family val="2"/>
        <charset val="204"/>
      </rPr>
      <t xml:space="preserve">KPI 35R, </t>
    </r>
    <r>
      <rPr>
        <i/>
        <sz val="14"/>
        <rFont val="Arial"/>
        <family val="2"/>
        <charset val="204"/>
      </rPr>
      <t xml:space="preserve">диап. настр. давл. -0,2-7,5 бар, </t>
    </r>
    <r>
      <rPr>
        <i/>
        <sz val="14"/>
        <rFont val="Arial"/>
        <family val="2"/>
        <charset val="204"/>
      </rPr>
      <t>PN17, Tmax=120°C, G1/2", IP44</t>
    </r>
  </si>
  <si>
    <r>
      <rPr>
        <i/>
        <sz val="14"/>
        <rFont val="Arial"/>
        <family val="2"/>
        <charset val="204"/>
      </rPr>
      <t xml:space="preserve">Шаровой кран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</si>
  <si>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Предохранительный клапан 3/4" </t>
    </r>
    <r>
      <rPr>
        <i/>
        <sz val="14"/>
        <rFont val="Arial"/>
        <family val="2"/>
        <charset val="204"/>
      </rPr>
      <t xml:space="preserve">OR </t>
    </r>
    <r>
      <rPr>
        <i/>
        <sz val="14"/>
        <rFont val="Arial"/>
        <family val="2"/>
        <charset val="204"/>
      </rPr>
      <t>1832.020</t>
    </r>
  </si>
  <si>
    <r>
      <rPr>
        <i/>
        <sz val="14"/>
        <rFont val="Arial"/>
        <family val="2"/>
        <charset val="204"/>
      </rPr>
      <t xml:space="preserve">Расширительный бак </t>
    </r>
    <r>
      <rPr>
        <i/>
        <sz val="14"/>
        <rFont val="Arial"/>
        <family val="2"/>
        <charset val="204"/>
      </rPr>
      <t xml:space="preserve">WATERSTRY CW-LV </t>
    </r>
    <r>
      <rPr>
        <i/>
        <sz val="14"/>
        <rFont val="Arial"/>
        <family val="2"/>
        <charset val="204"/>
      </rPr>
      <t xml:space="preserve">300 </t>
    </r>
    <r>
      <rPr>
        <i/>
        <sz val="14"/>
        <rFont val="Arial"/>
        <family val="2"/>
        <charset val="204"/>
      </rPr>
      <t xml:space="preserve">10bar </t>
    </r>
    <r>
      <rPr>
        <i/>
        <sz val="14"/>
        <rFont val="Arial"/>
        <family val="2"/>
        <charset val="204"/>
      </rPr>
      <t xml:space="preserve">-10 </t>
    </r>
    <r>
      <rPr>
        <i/>
        <sz val="14"/>
        <rFont val="Arial"/>
        <family val="2"/>
        <charset val="204"/>
      </rPr>
      <t xml:space="preserve">°C </t>
    </r>
    <r>
      <rPr>
        <i/>
        <sz val="14"/>
        <rFont val="Arial"/>
        <family val="2"/>
        <charset val="204"/>
      </rPr>
      <t xml:space="preserve">/ + 99 </t>
    </r>
    <r>
      <rPr>
        <i/>
        <sz val="14"/>
        <rFont val="Arial"/>
        <family val="2"/>
        <charset val="204"/>
      </rPr>
      <t xml:space="preserve">°C </t>
    </r>
    <r>
      <rPr>
        <i/>
        <sz val="14"/>
        <rFont val="Arial"/>
        <family val="2"/>
        <charset val="204"/>
      </rPr>
      <t>1 1/4"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</si>
  <si>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Ду32/Ру40/Tmax120 латунь р/р</t>
    </r>
  </si>
  <si>
    <r>
      <rPr>
        <i/>
        <sz val="14"/>
        <rFont val="Arial"/>
        <family val="2"/>
        <charset val="204"/>
      </rPr>
      <t>НН 14</t>
    </r>
  </si>
  <si>
    <r>
      <rPr>
        <i/>
        <sz val="14"/>
        <rFont val="Arial"/>
        <family val="2"/>
        <charset val="204"/>
      </rPr>
      <t>НН№14; 41-50 пл.</t>
    </r>
  </si>
  <si>
    <r>
      <rPr>
        <i/>
        <sz val="14"/>
        <rFont val="Arial"/>
        <family val="2"/>
        <charset val="204"/>
      </rPr>
      <t>РИДАН-ЗОД</t>
    </r>
  </si>
  <si>
    <r>
      <rPr>
        <i/>
        <sz val="14"/>
        <rFont val="Arial"/>
        <family val="2"/>
        <charset val="204"/>
      </rPr>
      <t>EV220WR</t>
    </r>
  </si>
  <si>
    <r>
      <rPr>
        <i/>
        <sz val="14"/>
        <rFont val="Arial"/>
        <family val="2"/>
        <charset val="204"/>
      </rPr>
      <t>KPI 35R</t>
    </r>
  </si>
  <si>
    <r>
      <rPr>
        <i/>
        <sz val="14"/>
        <rFont val="Arial"/>
        <family val="2"/>
        <charset val="204"/>
      </rPr>
      <t>CW-LV</t>
    </r>
  </si>
  <si>
    <r>
      <rPr>
        <i/>
        <sz val="14"/>
        <rFont val="Arial"/>
        <family val="2"/>
        <charset val="204"/>
      </rPr>
      <t>WATERSTRY</t>
    </r>
  </si>
  <si>
    <r>
      <rPr>
        <i/>
        <sz val="12"/>
        <rFont val="Arial"/>
        <family val="2"/>
        <charset val="204"/>
      </rPr>
      <t xml:space="preserve">Расчет </t>
    </r>
    <r>
      <rPr>
        <i/>
        <sz val="12"/>
        <rFont val="Arial"/>
        <family val="2"/>
        <charset val="204"/>
      </rPr>
      <t>№w501454063</t>
    </r>
  </si>
  <si>
    <r>
      <rPr>
        <i/>
        <sz val="14"/>
        <rFont val="Arial"/>
        <family val="2"/>
        <charset val="204"/>
      </rPr>
      <t>30</t>
    </r>
  </si>
  <si>
    <r>
      <rPr>
        <i/>
        <sz val="14"/>
        <rFont val="Arial"/>
        <family val="2"/>
        <charset val="204"/>
      </rPr>
      <t>31</t>
    </r>
  </si>
  <si>
    <r>
      <rPr>
        <i/>
        <sz val="14"/>
        <rFont val="Arial"/>
        <family val="2"/>
        <charset val="204"/>
      </rPr>
      <t>32</t>
    </r>
  </si>
  <si>
    <r>
      <rPr>
        <i/>
        <sz val="14"/>
        <rFont val="Arial"/>
        <family val="2"/>
        <charset val="204"/>
      </rPr>
      <t>33</t>
    </r>
  </si>
  <si>
    <r>
      <rPr>
        <i/>
        <sz val="14"/>
        <rFont val="Arial"/>
        <family val="2"/>
        <charset val="204"/>
      </rPr>
      <t xml:space="preserve">Теплоизоляция труб из мин. ваты марки </t>
    </r>
    <r>
      <rPr>
        <i/>
        <sz val="14"/>
        <rFont val="Arial"/>
        <family val="2"/>
        <charset val="204"/>
      </rPr>
      <t xml:space="preserve">Rockwool </t>
    </r>
    <r>
      <rPr>
        <i/>
        <sz val="14"/>
        <rFont val="Arial"/>
        <family val="2"/>
        <charset val="204"/>
      </rPr>
      <t>с оцинковкой</t>
    </r>
  </si>
  <si>
    <r>
      <rPr>
        <i/>
        <sz val="14"/>
        <rFont val="Arial"/>
        <family val="2"/>
        <charset val="204"/>
      </rPr>
      <t>Фильтр ФСФ Dу100/Py16/Tmax200 чугун ф/ф</t>
    </r>
  </si>
  <si>
    <r>
      <rPr>
        <i/>
        <sz val="14"/>
        <rFont val="Arial"/>
        <family val="2"/>
        <charset val="204"/>
      </rPr>
      <t xml:space="preserve">Датчик температуры наружный </t>
    </r>
    <r>
      <rPr>
        <i/>
        <sz val="14"/>
        <rFont val="Arial"/>
        <family val="2"/>
        <charset val="204"/>
      </rPr>
      <t>MBT 3380R, Pt1000, T=-50</t>
    </r>
    <r>
      <rPr>
        <i/>
        <sz val="14"/>
        <rFont val="Arial"/>
        <family val="2"/>
        <charset val="204"/>
      </rPr>
      <t>...</t>
    </r>
    <r>
      <rPr>
        <i/>
        <sz val="14"/>
        <rFont val="Arial"/>
        <family val="2"/>
        <charset val="204"/>
      </rPr>
      <t>+95°C, IP54</t>
    </r>
  </si>
  <si>
    <r>
      <rPr>
        <i/>
        <sz val="14"/>
        <rFont val="Arial"/>
        <family val="2"/>
        <charset val="204"/>
      </rPr>
      <t xml:space="preserve">Шкаф автоматизации БТП ША-08063/1-/380-D1/1/2/0.83-H1/1/ </t>
    </r>
    <r>
      <rPr>
        <i/>
        <sz val="14"/>
        <rFont val="Arial"/>
        <family val="2"/>
        <charset val="204"/>
      </rPr>
      <t>2/3-R1/1/0/0</t>
    </r>
  </si>
  <si>
    <r>
      <rPr>
        <i/>
        <sz val="14"/>
        <rFont val="Arial"/>
        <family val="2"/>
        <charset val="204"/>
      </rPr>
      <t>BNST2107259888</t>
    </r>
  </si>
  <si>
    <r>
      <rPr>
        <i/>
        <sz val="12"/>
        <rFont val="Arial"/>
        <family val="2"/>
        <charset val="204"/>
      </rPr>
      <t>Длина проводов от ША 5м</t>
    </r>
  </si>
  <si>
    <r>
      <rPr>
        <i/>
        <sz val="15"/>
        <rFont val="Arial"/>
        <family val="2"/>
        <charset val="204"/>
      </rPr>
      <t>1</t>
    </r>
  </si>
  <si>
    <r>
      <rPr>
        <i/>
        <sz val="15"/>
        <rFont val="Arial"/>
        <family val="2"/>
        <charset val="204"/>
      </rPr>
      <t>2</t>
    </r>
  </si>
  <si>
    <r>
      <rPr>
        <i/>
        <sz val="15"/>
        <rFont val="Arial"/>
        <family val="2"/>
        <charset val="204"/>
      </rPr>
      <t>3</t>
    </r>
  </si>
  <si>
    <r>
      <rPr>
        <i/>
        <sz val="15"/>
        <rFont val="Arial"/>
        <family val="2"/>
        <charset val="204"/>
      </rPr>
      <t>4</t>
    </r>
  </si>
  <si>
    <r>
      <rPr>
        <i/>
        <sz val="15"/>
        <rFont val="Arial"/>
        <family val="2"/>
        <charset val="204"/>
      </rPr>
      <t>5</t>
    </r>
  </si>
  <si>
    <r>
      <rPr>
        <i/>
        <sz val="15"/>
        <rFont val="Arial"/>
        <family val="2"/>
        <charset val="204"/>
      </rPr>
      <t>6</t>
    </r>
  </si>
  <si>
    <r>
      <rPr>
        <i/>
        <sz val="15"/>
        <rFont val="Arial"/>
        <family val="2"/>
        <charset val="204"/>
      </rPr>
      <t>7</t>
    </r>
  </si>
  <si>
    <r>
      <rPr>
        <i/>
        <sz val="15"/>
        <rFont val="Arial"/>
        <family val="2"/>
        <charset val="204"/>
      </rPr>
      <t>8</t>
    </r>
  </si>
  <si>
    <r>
      <rPr>
        <i/>
        <sz val="15"/>
        <rFont val="Arial"/>
        <family val="2"/>
        <charset val="204"/>
      </rPr>
      <t>Шкаф автоматизации, в составе:</t>
    </r>
  </si>
  <si>
    <r>
      <rPr>
        <i/>
        <sz val="15"/>
        <rFont val="Arial"/>
        <family val="2"/>
        <charset val="204"/>
      </rPr>
      <t>Корпус металлический 800х600х300</t>
    </r>
  </si>
  <si>
    <r>
      <rPr>
        <i/>
        <sz val="15"/>
        <rFont val="Arial"/>
        <family val="2"/>
        <charset val="204"/>
      </rPr>
      <t xml:space="preserve">Контроллер </t>
    </r>
    <r>
      <rPr>
        <i/>
        <sz val="15"/>
        <rFont val="Arial"/>
        <family val="2"/>
        <charset val="204"/>
      </rPr>
      <t>ECL</t>
    </r>
  </si>
  <si>
    <r>
      <rPr>
        <i/>
        <sz val="15"/>
        <rFont val="Arial"/>
        <family val="2"/>
        <charset val="204"/>
      </rPr>
      <t>Автоматический выключатель 3Р D2А</t>
    </r>
  </si>
  <si>
    <r>
      <rPr>
        <i/>
        <sz val="15"/>
        <rFont val="Arial"/>
        <family val="2"/>
        <charset val="204"/>
      </rPr>
      <t>Автоматический выключатель 3Р D4А</t>
    </r>
  </si>
  <si>
    <r>
      <rPr>
        <i/>
        <sz val="15"/>
        <rFont val="Arial"/>
        <family val="2"/>
        <charset val="204"/>
      </rPr>
      <t>Автоматический выключатель 3Р C8А</t>
    </r>
  </si>
  <si>
    <r>
      <rPr>
        <i/>
        <sz val="15"/>
        <rFont val="Arial"/>
        <family val="2"/>
        <charset val="204"/>
      </rPr>
      <t xml:space="preserve">Контактор </t>
    </r>
    <r>
      <rPr>
        <i/>
        <sz val="15"/>
        <rFont val="Arial"/>
        <family val="2"/>
        <charset val="204"/>
      </rPr>
      <t xml:space="preserve">9A </t>
    </r>
    <r>
      <rPr>
        <i/>
        <sz val="15"/>
        <rFont val="Arial"/>
        <family val="2"/>
        <charset val="204"/>
      </rPr>
      <t>230В 50ГЦ</t>
    </r>
  </si>
  <si>
    <r>
      <rPr>
        <i/>
        <sz val="15"/>
        <rFont val="Arial"/>
        <family val="2"/>
        <charset val="204"/>
      </rPr>
      <t>Мех. Блокировка контактора</t>
    </r>
  </si>
  <si>
    <r>
      <rPr>
        <i/>
        <sz val="15"/>
        <rFont val="Arial"/>
        <family val="2"/>
        <charset val="204"/>
      </rPr>
      <t>Дополнительные компоненты (лампочки, переключатели, провода, клеммы, предохранители и тд.)</t>
    </r>
  </si>
  <si>
    <r>
      <rPr>
        <i/>
        <sz val="15"/>
        <rFont val="Arial"/>
        <family val="2"/>
        <charset val="204"/>
      </rPr>
      <t xml:space="preserve">ША-08063/1-/380- </t>
    </r>
    <r>
      <rPr>
        <i/>
        <sz val="15"/>
        <rFont val="Arial"/>
        <family val="2"/>
        <charset val="204"/>
      </rPr>
      <t>D1/1/2/0.83-H1/1/2/3- R1/1/0/0</t>
    </r>
  </si>
  <si>
    <r>
      <rPr>
        <i/>
        <sz val="15"/>
        <rFont val="Arial"/>
        <family val="2"/>
        <charset val="204"/>
      </rPr>
      <t>шт.</t>
    </r>
  </si>
  <si>
    <r>
      <rPr>
        <i/>
        <sz val="15"/>
        <rFont val="Arial"/>
        <family val="2"/>
        <charset val="204"/>
      </rPr>
      <t>кмп.</t>
    </r>
  </si>
  <si>
    <r>
      <rPr>
        <i/>
        <sz val="15"/>
        <rFont val="Arial"/>
        <family val="2"/>
        <charset val="204"/>
      </rPr>
      <t>9</t>
    </r>
  </si>
  <si>
    <r>
      <rPr>
        <i/>
        <sz val="15"/>
        <rFont val="Arial"/>
        <family val="2"/>
        <charset val="204"/>
      </rPr>
      <t>0</t>
    </r>
  </si>
  <si>
    <r>
      <rPr>
        <i/>
        <sz val="15"/>
        <rFont val="Arial"/>
        <family val="2"/>
        <charset val="204"/>
      </rPr>
      <t>4.1</t>
    </r>
  </si>
  <si>
    <r>
      <rPr>
        <i/>
        <sz val="15"/>
        <rFont val="Arial"/>
        <family val="2"/>
        <charset val="204"/>
      </rPr>
      <t>4.2</t>
    </r>
  </si>
  <si>
    <r>
      <rPr>
        <i/>
        <sz val="15"/>
        <rFont val="Arial"/>
        <family val="2"/>
        <charset val="204"/>
      </rPr>
      <t>10</t>
    </r>
  </si>
  <si>
    <r>
      <rPr>
        <i/>
        <sz val="15"/>
        <rFont val="Arial"/>
        <family val="2"/>
        <charset val="204"/>
      </rPr>
      <t xml:space="preserve">Система отопления 1, коллектор </t>
    </r>
    <r>
      <rPr>
        <i/>
        <sz val="15"/>
        <rFont val="Arial"/>
        <family val="2"/>
        <charset val="204"/>
      </rPr>
      <t xml:space="preserve">S1108250094-4 </t>
    </r>
    <r>
      <rPr>
        <i/>
        <sz val="15"/>
        <rFont val="Arial"/>
        <family val="2"/>
        <charset val="204"/>
      </rPr>
      <t>в составе:</t>
    </r>
  </si>
  <si>
    <r>
      <rPr>
        <i/>
        <sz val="15"/>
        <rFont val="Arial"/>
        <family val="2"/>
        <charset val="204"/>
      </rPr>
      <t xml:space="preserve">Манометр ТМ510, 0..10бар, 100мм, </t>
    </r>
    <r>
      <rPr>
        <i/>
        <sz val="15"/>
        <rFont val="Arial"/>
        <family val="2"/>
        <charset val="204"/>
      </rPr>
      <t>G1/2</t>
    </r>
  </si>
  <si>
    <r>
      <rPr>
        <i/>
        <sz val="15"/>
        <rFont val="Arial"/>
        <family val="2"/>
        <charset val="204"/>
      </rPr>
      <t xml:space="preserve">Кран под манометр </t>
    </r>
    <r>
      <rPr>
        <i/>
        <sz val="15"/>
        <rFont val="Arial"/>
        <family val="2"/>
        <charset val="204"/>
      </rPr>
      <t>Dy15/Py40/Tmax150</t>
    </r>
  </si>
  <si>
    <r>
      <rPr>
        <i/>
        <sz val="15"/>
        <rFont val="Arial"/>
        <family val="2"/>
        <charset val="204"/>
      </rPr>
      <t>Термометр 0..120°С, Ø80мм</t>
    </r>
  </si>
  <si>
    <r>
      <rPr>
        <i/>
        <sz val="15"/>
        <rFont val="Arial"/>
        <family val="2"/>
        <charset val="204"/>
      </rPr>
      <t xml:space="preserve">Спускник </t>
    </r>
    <r>
      <rPr>
        <i/>
        <sz val="15"/>
        <rFont val="Arial"/>
        <family val="2"/>
        <charset val="204"/>
      </rPr>
      <t xml:space="preserve">BVR-R </t>
    </r>
    <r>
      <rPr>
        <i/>
        <sz val="15"/>
        <rFont val="Arial"/>
        <family val="2"/>
        <charset val="204"/>
      </rPr>
      <t>Ду15/Ру40/Tmax120 латунь р/р</t>
    </r>
  </si>
  <si>
    <r>
      <rPr>
        <i/>
        <sz val="15"/>
        <rFont val="Arial"/>
        <family val="2"/>
        <charset val="204"/>
      </rPr>
      <t xml:space="preserve">Спускник </t>
    </r>
    <r>
      <rPr>
        <i/>
        <sz val="15"/>
        <rFont val="Arial"/>
        <family val="2"/>
        <charset val="204"/>
      </rPr>
      <t xml:space="preserve">BVR-R </t>
    </r>
    <r>
      <rPr>
        <i/>
        <sz val="15"/>
        <rFont val="Arial"/>
        <family val="2"/>
        <charset val="204"/>
      </rPr>
      <t>Ду25/Ру40/Tmax120 латунь р/р</t>
    </r>
  </si>
  <si>
    <r>
      <rPr>
        <i/>
        <sz val="15"/>
        <rFont val="Arial"/>
        <family val="2"/>
        <charset val="204"/>
      </rPr>
      <t xml:space="preserve">Спускник </t>
    </r>
    <r>
      <rPr>
        <i/>
        <sz val="15"/>
        <rFont val="Arial"/>
        <family val="2"/>
        <charset val="204"/>
      </rPr>
      <t xml:space="preserve">BVR-R </t>
    </r>
    <r>
      <rPr>
        <i/>
        <sz val="15"/>
        <rFont val="Arial"/>
        <family val="2"/>
        <charset val="204"/>
      </rPr>
      <t>Ду25/Ру40/Tmax120 латунь р/р</t>
    </r>
  </si>
  <si>
    <r>
      <rPr>
        <i/>
        <sz val="15"/>
        <rFont val="Arial"/>
        <family val="2"/>
        <charset val="204"/>
      </rPr>
      <t>Дисковый затвор РИДАН-ЗДМ/Dy100/Kvs518/Py16/TMax120 м/ф</t>
    </r>
  </si>
  <si>
    <r>
      <rPr>
        <i/>
        <sz val="15"/>
        <rFont val="Arial"/>
        <family val="2"/>
        <charset val="204"/>
      </rPr>
      <t xml:space="preserve">Балансировочный клапан </t>
    </r>
    <r>
      <rPr>
        <i/>
        <sz val="15"/>
        <rFont val="Arial"/>
        <family val="2"/>
        <charset val="204"/>
      </rPr>
      <t xml:space="preserve">MNF-R2/Dy80/Kvs122.3/Py25/TMax150 </t>
    </r>
    <r>
      <rPr>
        <i/>
        <sz val="15"/>
        <rFont val="Arial"/>
        <family val="2"/>
        <charset val="204"/>
      </rPr>
      <t>ф/ф</t>
    </r>
  </si>
  <si>
    <r>
      <rPr>
        <i/>
        <sz val="15"/>
        <rFont val="Arial"/>
        <family val="2"/>
        <charset val="204"/>
      </rPr>
      <t xml:space="preserve">Шаровой кран </t>
    </r>
    <r>
      <rPr>
        <i/>
        <sz val="15"/>
        <rFont val="Arial"/>
        <family val="2"/>
        <charset val="204"/>
      </rPr>
      <t xml:space="preserve">BVR-R/Dy32/Kvs84/Py40/TMax120 </t>
    </r>
    <r>
      <rPr>
        <i/>
        <sz val="15"/>
        <rFont val="Arial"/>
        <family val="2"/>
        <charset val="204"/>
      </rPr>
      <t>р/р</t>
    </r>
  </si>
  <si>
    <r>
      <rPr>
        <i/>
        <sz val="15"/>
        <rFont val="Arial"/>
        <family val="2"/>
        <charset val="204"/>
      </rPr>
      <t xml:space="preserve">Балансировочный клапан </t>
    </r>
    <r>
      <rPr>
        <i/>
        <sz val="15"/>
        <rFont val="Arial"/>
        <family val="2"/>
        <charset val="204"/>
      </rPr>
      <t xml:space="preserve">MVT-R/Dy25/Kvs8.03/Py16/TMax120 </t>
    </r>
    <r>
      <rPr>
        <i/>
        <sz val="15"/>
        <rFont val="Arial"/>
        <family val="2"/>
        <charset val="204"/>
      </rPr>
      <t>р/р</t>
    </r>
  </si>
  <si>
    <r>
      <rPr>
        <i/>
        <sz val="15"/>
        <rFont val="Arial"/>
        <family val="2"/>
        <charset val="204"/>
      </rPr>
      <t xml:space="preserve">Теплоизоляция трубопроводов БТП </t>
    </r>
    <r>
      <rPr>
        <i/>
        <sz val="15"/>
        <rFont val="Arial"/>
        <family val="2"/>
        <charset val="204"/>
      </rPr>
      <t xml:space="preserve">"Rockwool" c </t>
    </r>
    <r>
      <rPr>
        <i/>
        <sz val="15"/>
        <rFont val="Arial"/>
        <family val="2"/>
        <charset val="204"/>
      </rPr>
      <t>защитой теплоизоляции кожухами из оцинкованной стали</t>
    </r>
  </si>
  <si>
    <r>
      <rPr>
        <i/>
        <sz val="9"/>
        <rFont val="Arial"/>
        <family val="2"/>
        <charset val="204"/>
      </rPr>
      <t>Для отводов Ду15-25</t>
    </r>
  </si>
  <si>
    <r>
      <rPr>
        <i/>
        <sz val="9"/>
        <rFont val="Arial"/>
        <family val="2"/>
        <charset val="204"/>
      </rPr>
      <t>Для отводов ≥ Ду32</t>
    </r>
  </si>
  <si>
    <t>D 100 ERA 4S</t>
  </si>
  <si>
    <t>Трубки теплоизоляционные из вспененного полиэтилена K-FLEX PE</t>
  </si>
  <si>
    <t>K-FLEX PE</t>
  </si>
  <si>
    <r>
      <rPr>
        <b/>
        <sz val="15"/>
        <rFont val="Arial"/>
        <family val="2"/>
        <charset val="204"/>
      </rPr>
      <t>Количество</t>
    </r>
  </si>
  <si>
    <r>
      <rPr>
        <b/>
        <i/>
        <sz val="14"/>
        <rFont val="Arial"/>
        <family val="2"/>
        <charset val="204"/>
      </rPr>
      <t>Количество</t>
    </r>
  </si>
  <si>
    <t>Заглушка, воздухоотводчик поставляются в комплекте с радиатором</t>
  </si>
  <si>
    <t>крепеж 344р</t>
  </si>
  <si>
    <t>крепеж 126р</t>
  </si>
  <si>
    <t>ОСТ 36-146-88</t>
  </si>
  <si>
    <t>«Энергия-Термо» DN15 (НО.ЭТ.16.015.21.2.C)</t>
  </si>
  <si>
    <t>Ридан Узел распределительный TDU.7R DN40-5R-32-MVT25-APT25-B</t>
  </si>
  <si>
    <t>Ридан Узел распределительный TDU.7R DN40-6R-32-MVT25-APT25-B</t>
  </si>
  <si>
    <t>Ридан Узел распределительный TDU.7R DN40-6L-32-MVT25-APT25-B</t>
  </si>
  <si>
    <t>Ридан Теплосчетчик ультразвуковой РУТ-01 DN15/Qp1,5/ возв</t>
  </si>
  <si>
    <t>Ридан Комплект клапан LV-KB DN20+термостатический элемент TR74(М30*1,5)</t>
  </si>
  <si>
    <t>изоляция</t>
  </si>
  <si>
    <t>Ballu BEC/HMM-1500</t>
  </si>
  <si>
    <t>с электроприводами  производства Китай</t>
  </si>
  <si>
    <t>веза</t>
  </si>
  <si>
    <t>виктория не делает</t>
  </si>
  <si>
    <t>Комплект трубок из нержавеющей стали для подключения радиатора, Г-образ., Ø16-3/4"</t>
  </si>
  <si>
    <t>Щит управления вентилятором CHU-DU-V15-PZT</t>
  </si>
  <si>
    <t>Щит управления вентилятором CHU-DU-V4-TG</t>
  </si>
  <si>
    <t>1 мм</t>
  </si>
  <si>
    <t>ERA 4C</t>
  </si>
  <si>
    <t>PE COMPACT</t>
  </si>
  <si>
    <t>Kflex-ST</t>
  </si>
  <si>
    <t>Рулон K-FLEX 25x1000-08 ST</t>
  </si>
  <si>
    <t>1100*500</t>
  </si>
  <si>
    <t>900*500</t>
  </si>
  <si>
    <t>Трубка латунная аксиальная приборная Г-образная 16х250, Valfex VF.481.AP.016250</t>
  </si>
  <si>
    <t>Гайка для подключения медной трубы (евроконус) аксиальная, латунь 15 х 3/4", Valfex VF.4430.1534</t>
  </si>
  <si>
    <t>Рулон Rokaflex ST SA 25x1000 -914,25 в Москве</t>
  </si>
  <si>
    <t>175р</t>
  </si>
  <si>
    <t>914,25р</t>
  </si>
  <si>
    <t>189р</t>
  </si>
  <si>
    <t>252р</t>
  </si>
  <si>
    <t>EXPERT-ISOL-Ф 100-1000</t>
  </si>
  <si>
    <t>336р</t>
  </si>
  <si>
    <t>434р</t>
  </si>
  <si>
    <t>469р</t>
  </si>
  <si>
    <t>Трубки "Тилит Супер Протект-С</t>
  </si>
  <si>
    <t>Окожушка 13,95 м</t>
  </si>
  <si>
    <t>Проконсим УКЭОП32</t>
  </si>
  <si>
    <t>НЗВЗ Компенсатор ЛТР 1100х500 EI60</t>
  </si>
  <si>
    <t>16х2.2 Труба SANEXT PEX</t>
  </si>
  <si>
    <t>20х2.8 Труба SANEXT PEX</t>
  </si>
  <si>
    <t>25х3.5 Труба SANEXT PEX</t>
  </si>
  <si>
    <t>цена из старых кп</t>
  </si>
  <si>
    <t>49,94 за метр</t>
  </si>
  <si>
    <t>73,94 за метр</t>
  </si>
  <si>
    <t>116,06 за метр</t>
  </si>
  <si>
    <t>Воздухоотводчик автомат. DN15 PN10 прямой</t>
  </si>
  <si>
    <t>Кран латунный шаровой DN 15 PN 40 рычаг муфта-муфтаTEMPER</t>
  </si>
  <si>
    <t>Кран латунный шаровой DN 25 PN 40 рычаг муфта-муфта TEMPER</t>
  </si>
  <si>
    <t>013G7223R</t>
  </si>
  <si>
    <r>
      <t>Узел нижнего подключения Royal Thermo угловой 1/2"х3/4"EK RTE 07.00002А</t>
    </r>
    <r>
      <rPr>
        <sz val="10"/>
        <color rgb="FFFF0000"/>
        <rFont val="Arial"/>
        <family val="2"/>
        <charset val="204"/>
      </rPr>
      <t>+</t>
    </r>
    <r>
      <rPr>
        <sz val="10"/>
        <rFont val="Arial"/>
        <family val="2"/>
        <charset val="204"/>
      </rPr>
      <t>Термоголовка жидкостная Royal Thermo BASIC М30х1,5 (белый)</t>
    </r>
  </si>
  <si>
    <t>Вентилятор
радиальный
VR-86-77-10,0-DU40
0-11,0/1000-0,9-0-P0</t>
  </si>
  <si>
    <t>Щит управления
ABUm-PDV-11-2-0-0
-0-1-0</t>
  </si>
  <si>
    <t>Виброизоляторы на
пластине ДО № 42</t>
  </si>
  <si>
    <t>Клапан
KPNZ-90-1100*500-
F1-VN-MN220-ML-0
4 исп.Б</t>
  </si>
  <si>
    <t>Решетка
KD-1100*500-30-оц.-
RAL9016</t>
  </si>
  <si>
    <t>Вентилятор
VO-6,3-О-2-4/3000-1
5C1-01</t>
  </si>
  <si>
    <t>Щит управления
ABUm-PDV-4-2-0-0-
0-1-0</t>
  </si>
  <si>
    <t>Клапан
KPNZ-90-900*500-F
1-VN-MN220-ML-04</t>
  </si>
  <si>
    <t>Решетка
KD-900*500-30-оц.-
RAL9016</t>
  </si>
  <si>
    <t>Вентилятор
VO-9,0-О-2-5,5/1500
-42H2-01</t>
  </si>
  <si>
    <t>АМР 150х150</t>
  </si>
  <si>
    <r>
      <t xml:space="preserve">Решетка
РВ-1-150*150-6-RAL 9016 </t>
    </r>
    <r>
      <rPr>
        <sz val="10"/>
        <color rgb="FFFF0000"/>
        <rFont val="Arial"/>
        <family val="2"/>
        <charset val="204"/>
      </rPr>
      <t xml:space="preserve"> БЕЗ КЛАПАНА</t>
    </r>
    <r>
      <rPr>
        <sz val="10"/>
        <rFont val="Arial"/>
        <family val="2"/>
        <charset val="204"/>
      </rPr>
      <t xml:space="preserve">
</t>
    </r>
  </si>
  <si>
    <r>
      <t xml:space="preserve">Решетка
РВ-1-400*600-18-RA
L9016 </t>
    </r>
    <r>
      <rPr>
        <sz val="10"/>
        <color rgb="FFFF0000"/>
        <rFont val="Arial"/>
        <family val="2"/>
        <charset val="204"/>
      </rPr>
      <t>БЕЗ КЛАПАНА</t>
    </r>
  </si>
  <si>
    <t>"Наименование в спецификации"</t>
  </si>
  <si>
    <t>"Наименование в счете"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</si>
</sst>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5"/>
      <name val="Arial"/>
      <family val="2"/>
      <charset val="204"/>
    </font>
    <font>
      <b/>
      <u/>
      <sz val="15"/>
      <name val="Arial"/>
      <family val="2"/>
      <charset val="204"/>
    </font>
    <font>
      <sz val="15"/>
      <name val="Arial Unicode MS"/>
      <family val="2"/>
      <charset val="204"/>
    </font>
    <font>
      <b/>
      <sz val="15"/>
      <name val="Arial"/>
      <family val="2"/>
      <charset val="204"/>
    </font>
    <font>
      <i/>
      <sz val="14"/>
      <name val="Arial"/>
      <family val="2"/>
      <charset val="204"/>
    </font>
    <font>
      <i/>
      <sz val="21"/>
      <name val="Arial"/>
      <family val="2"/>
      <charset val="204"/>
    </font>
    <font>
      <i/>
      <sz val="12"/>
      <name val="Arial"/>
      <family val="2"/>
      <charset val="204"/>
    </font>
    <font>
      <i/>
      <sz val="15"/>
      <name val="Arial"/>
      <family val="2"/>
      <charset val="204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5"/>
      <name val="Arial"/>
      <family val="2"/>
      <charset val="204"/>
    </font>
    <font>
      <sz val="14"/>
      <name val="Arial"/>
      <family val="2"/>
      <charset val="204"/>
    </font>
    <font>
      <b/>
      <sz val="14"/>
      <name val="Arial"/>
      <family val="2"/>
      <charset val="204"/>
    </font>
    <font>
      <b/>
      <i/>
      <sz val="14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0"/>
      <color rgb="FFFF0000"/>
      <name val="Arial"/>
      <family val="2"/>
      <charset val="204"/>
    </font>
    <font>
      <sz val="14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justify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indent="2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justify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justify" vertical="top"/>
    </xf>
    <xf numFmtId="0" fontId="0" fillId="0" borderId="1" xfId="0" applyBorder="1" applyAlignment="1">
      <alignment horizontal="left" vertical="top" indent="15"/>
    </xf>
    <xf numFmtId="0" fontId="0" fillId="0" borderId="1" xfId="0" applyBorder="1" applyAlignment="1">
      <alignment horizontal="left" indent="15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indent="6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2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justify" vertic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justify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justify" vertical="top"/>
    </xf>
    <xf numFmtId="0" fontId="0" fillId="2" borderId="1" xfId="0" applyFill="1" applyBorder="1" applyAlignment="1">
      <alignment horizontal="left" indent="15"/>
    </xf>
    <xf numFmtId="0" fontId="0" fillId="3" borderId="1" xfId="0" applyFill="1" applyBorder="1" applyAlignment="1">
      <alignment horizontal="left" vertical="top" inden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top" indent="2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indent="2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top" inden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5"/>
    </xf>
    <xf numFmtId="0" fontId="0" fillId="2" borderId="1" xfId="0" applyFill="1" applyBorder="1" applyAlignment="1">
      <alignment horizontal="right" vertical="top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top" indent="15"/>
    </xf>
    <xf numFmtId="0" fontId="13" fillId="2" borderId="1" xfId="0" applyFont="1" applyFill="1" applyBorder="1" applyAlignment="1">
      <alignment horizontal="left" vertical="top" indent="15"/>
    </xf>
    <xf numFmtId="0" fontId="11" fillId="0" borderId="1" xfId="0" applyFont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indent="15"/>
    </xf>
    <xf numFmtId="0" fontId="14" fillId="2" borderId="1" xfId="0" applyFont="1" applyFill="1" applyBorder="1" applyAlignment="1">
      <alignment horizontal="left" vertical="top" indent="15"/>
    </xf>
    <xf numFmtId="0" fontId="11" fillId="0" borderId="0" xfId="0" applyFont="1" applyAlignment="1">
      <alignment horizontal="center"/>
    </xf>
    <xf numFmtId="0" fontId="10" fillId="0" borderId="0" xfId="0" applyFont="1"/>
    <xf numFmtId="0" fontId="12" fillId="0" borderId="1" xfId="0" applyFont="1" applyBorder="1" applyAlignment="1">
      <alignment horizontal="center" vertical="top" wrapText="1"/>
    </xf>
    <xf numFmtId="2" fontId="0" fillId="0" borderId="0" xfId="0" applyNumberFormat="1"/>
    <xf numFmtId="2" fontId="0" fillId="0" borderId="1" xfId="0" applyNumberForma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6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4" fontId="13" fillId="3" borderId="1" xfId="0" applyNumberFormat="1" applyFont="1" applyFill="1" applyBorder="1" applyAlignment="1">
      <alignment horizontal="center" vertical="center"/>
    </xf>
    <xf numFmtId="4" fontId="13" fillId="4" borderId="1" xfId="0" applyNumberFormat="1" applyFont="1" applyFill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justify" wrapText="1"/>
    </xf>
    <xf numFmtId="0" fontId="10" fillId="6" borderId="1" xfId="0" applyFont="1" applyFill="1" applyBorder="1" applyAlignment="1">
      <alignment horizontal="left" vertical="top" indent="1"/>
    </xf>
    <xf numFmtId="0" fontId="10" fillId="0" borderId="1" xfId="0" applyFont="1" applyBorder="1" applyAlignment="1">
      <alignment horizontal="center" vertical="top"/>
    </xf>
    <xf numFmtId="0" fontId="17" fillId="5" borderId="1" xfId="0" applyFont="1" applyFill="1" applyBorder="1" applyAlignment="1">
      <alignment horizontal="left" vertical="top" wrapText="1"/>
    </xf>
    <xf numFmtId="4" fontId="13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 vertical="top"/>
    </xf>
    <xf numFmtId="4" fontId="13" fillId="0" borderId="1" xfId="0" applyNumberFormat="1" applyFont="1" applyBorder="1" applyAlignment="1">
      <alignment horizontal="center" vertical="top"/>
    </xf>
    <xf numFmtId="4" fontId="13" fillId="0" borderId="1" xfId="0" applyNumberFormat="1" applyFont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7" fillId="5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7" fillId="0" borderId="0" xfId="0" applyFont="1"/>
    <xf numFmtId="0" fontId="13" fillId="0" borderId="0" xfId="0" applyFont="1"/>
    <xf numFmtId="0" fontId="13" fillId="5" borderId="0" xfId="0" applyFont="1" applyFill="1" applyAlignment="1">
      <alignment wrapText="1"/>
    </xf>
    <xf numFmtId="0" fontId="0" fillId="5" borderId="1" xfId="0" applyFill="1" applyBorder="1" applyAlignment="1">
      <alignment horizontal="left" vertical="top" wrapText="1"/>
    </xf>
    <xf numFmtId="0" fontId="10" fillId="5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9" fillId="0" borderId="1" xfId="0" applyFont="1" applyBorder="1" applyAlignment="1">
      <alignment horizontal="left" vertical="top" wrapText="1"/>
    </xf>
    <xf numFmtId="0" fontId="10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4" fontId="17" fillId="0" borderId="0" xfId="0" applyNumberFormat="1" applyFont="1"/>
    <xf numFmtId="4" fontId="13" fillId="0" borderId="0" xfId="0" applyNumberFormat="1" applyFont="1"/>
    <xf numFmtId="4" fontId="13" fillId="0" borderId="0" xfId="0" applyNumberFormat="1" applyFont="1" applyAlignment="1">
      <alignment horizontal="right" vertical="center"/>
    </xf>
    <xf numFmtId="4" fontId="13" fillId="0" borderId="0" xfId="0" applyNumberFormat="1" applyFont="1" applyAlignment="1">
      <alignment vertical="center"/>
    </xf>
    <xf numFmtId="0" fontId="10" fillId="0" borderId="0" xfId="0" applyFont="1" applyAlignment="1">
      <alignment horizontal="right"/>
    </xf>
    <xf numFmtId="0" fontId="17" fillId="0" borderId="1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justify"/>
    </xf>
    <xf numFmtId="0" fontId="14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7"/>
  <sheetViews>
    <sheetView tabSelected="1" zoomScale="70" zoomScaleNormal="70" workbookViewId="0">
      <pane ySplit="1" topLeftCell="A2" activePane="bottomLeft" state="frozen"/>
      <selection pane="bottomLeft" activeCell="C4" sqref="C4"/>
    </sheetView>
  </sheetViews>
  <sheetFormatPr defaultRowHeight="18" x14ac:dyDescent="0.25"/>
  <cols>
    <col min="1" max="1" width="10.5703125"/>
    <col min="2" max="2" width="86.42578125" customWidth="1"/>
    <col min="3" max="3" width="30.85546875" style="60"/>
    <col min="4" max="4" width="18.42578125"/>
    <col min="5" max="5" width="23.140625"/>
    <col min="6" max="6" width="10.28515625"/>
    <col min="7" max="7" width="10.28515625" style="81"/>
    <col min="8" max="8" width="14.85546875" style="96" customWidth="1"/>
    <col min="9" max="9" width="16.85546875" style="106" customWidth="1"/>
    <col min="10" max="10" width="12.85546875"/>
    <col min="11" max="11" width="24.28515625" style="87" customWidth="1"/>
    <col min="12" max="12" width="16.42578125" style="84" customWidth="1"/>
    <col min="13" max="13" width="13.28515625" style="124" customWidth="1"/>
    <col min="14" max="14" width="28.28515625" customWidth="1"/>
    <col min="15" max="15" width="21" customWidth="1"/>
  </cols>
  <sheetData>
    <row r="1" spans="1:14" ht="75" x14ac:dyDescent="0.2">
      <c r="A1" s="3" t="s">
        <v>0</v>
      </c>
      <c r="B1" s="133" t="s">
        <v>511</v>
      </c>
      <c r="C1" s="134" t="s">
        <v>512</v>
      </c>
      <c r="D1" s="4" t="s">
        <v>18</v>
      </c>
      <c r="E1" s="4" t="s">
        <v>19</v>
      </c>
      <c r="F1" s="4" t="s">
        <v>21</v>
      </c>
      <c r="G1" s="45" t="s">
        <v>444</v>
      </c>
      <c r="H1" s="90"/>
      <c r="I1" s="90"/>
      <c r="J1" s="4" t="s">
        <v>23</v>
      </c>
      <c r="K1" s="4" t="s">
        <v>24</v>
      </c>
      <c r="L1" s="135"/>
      <c r="M1" s="136"/>
      <c r="N1" s="137" t="s">
        <v>512</v>
      </c>
    </row>
    <row r="2" spans="1:14" ht="19.5" x14ac:dyDescent="0.2">
      <c r="A2" s="5"/>
      <c r="B2" s="6" t="s">
        <v>1</v>
      </c>
      <c r="C2" s="20"/>
      <c r="D2" s="5"/>
      <c r="E2" s="5"/>
      <c r="F2" s="7"/>
      <c r="G2" s="69"/>
      <c r="H2" s="91"/>
      <c r="I2" s="65"/>
      <c r="J2" s="7"/>
      <c r="K2" s="20"/>
      <c r="L2"/>
    </row>
    <row r="3" spans="1:14" ht="57" x14ac:dyDescent="0.25">
      <c r="A3" s="5"/>
      <c r="B3" s="22" t="s">
        <v>2</v>
      </c>
      <c r="C3" s="23" t="s">
        <v>16</v>
      </c>
      <c r="D3" s="24"/>
      <c r="E3" s="25" t="s">
        <v>20</v>
      </c>
      <c r="F3" s="26" t="s">
        <v>22</v>
      </c>
      <c r="G3" s="70">
        <v>1</v>
      </c>
      <c r="H3" s="92"/>
      <c r="I3" s="92"/>
      <c r="J3" s="27"/>
      <c r="K3" s="88" t="s">
        <v>451</v>
      </c>
      <c r="L3"/>
      <c r="M3" s="124">
        <v>31628</v>
      </c>
      <c r="N3" s="115" t="s">
        <v>484</v>
      </c>
    </row>
    <row r="4" spans="1:14" ht="18.75" x14ac:dyDescent="0.25">
      <c r="A4" s="5"/>
      <c r="B4" s="28" t="s">
        <v>3</v>
      </c>
      <c r="C4" s="44"/>
      <c r="D4" s="24"/>
      <c r="E4" s="24"/>
      <c r="F4" s="27"/>
      <c r="G4" s="71"/>
      <c r="H4" s="92"/>
      <c r="I4" s="62"/>
      <c r="J4" s="27"/>
      <c r="K4" s="44"/>
      <c r="L4"/>
    </row>
    <row r="5" spans="1:14" ht="18.75" x14ac:dyDescent="0.25">
      <c r="A5" s="5"/>
      <c r="B5" s="28" t="s">
        <v>4</v>
      </c>
      <c r="C5" s="44"/>
      <c r="D5" s="24"/>
      <c r="E5" s="24"/>
      <c r="F5" s="27"/>
      <c r="G5" s="71"/>
      <c r="H5" s="92"/>
      <c r="I5" s="62"/>
      <c r="J5" s="27"/>
      <c r="K5" s="44"/>
      <c r="L5"/>
    </row>
    <row r="6" spans="1:14" ht="18.75" x14ac:dyDescent="0.25">
      <c r="A6" s="5"/>
      <c r="B6" s="28" t="s">
        <v>5</v>
      </c>
      <c r="C6" s="44"/>
      <c r="D6" s="24"/>
      <c r="E6" s="24"/>
      <c r="F6" s="27"/>
      <c r="G6" s="71"/>
      <c r="H6" s="92"/>
      <c r="I6" s="62"/>
      <c r="J6" s="27"/>
      <c r="K6" s="44"/>
      <c r="L6"/>
    </row>
    <row r="7" spans="1:14" ht="18.75" x14ac:dyDescent="0.25">
      <c r="A7" s="5"/>
      <c r="B7" s="28" t="s">
        <v>6</v>
      </c>
      <c r="C7" s="44"/>
      <c r="D7" s="24"/>
      <c r="E7" s="24"/>
      <c r="F7" s="27"/>
      <c r="G7" s="71"/>
      <c r="H7" s="92"/>
      <c r="I7" s="62"/>
      <c r="J7" s="27"/>
      <c r="K7" s="44"/>
      <c r="L7"/>
    </row>
    <row r="8" spans="1:14" ht="18.75" x14ac:dyDescent="0.25">
      <c r="A8" s="5"/>
      <c r="B8" s="28" t="s">
        <v>7</v>
      </c>
      <c r="C8" s="44"/>
      <c r="D8" s="24"/>
      <c r="E8" s="24"/>
      <c r="F8" s="27"/>
      <c r="G8" s="71"/>
      <c r="H8" s="92"/>
      <c r="I8" s="62"/>
      <c r="J8" s="27"/>
      <c r="K8" s="44"/>
      <c r="L8"/>
    </row>
    <row r="9" spans="1:14" ht="18.75" x14ac:dyDescent="0.25">
      <c r="A9" s="5"/>
      <c r="B9" s="28" t="s">
        <v>8</v>
      </c>
      <c r="C9" s="44"/>
      <c r="D9" s="24"/>
      <c r="E9" s="24"/>
      <c r="F9" s="27"/>
      <c r="G9" s="71"/>
      <c r="H9" s="92"/>
      <c r="I9" s="62"/>
      <c r="J9" s="27"/>
      <c r="K9" s="44"/>
      <c r="L9"/>
    </row>
    <row r="10" spans="1:14" ht="18.75" x14ac:dyDescent="0.25">
      <c r="A10" s="5"/>
      <c r="B10" s="28" t="s">
        <v>9</v>
      </c>
      <c r="C10" s="44"/>
      <c r="D10" s="24"/>
      <c r="E10" s="24"/>
      <c r="F10" s="27"/>
      <c r="G10" s="71"/>
      <c r="H10" s="92"/>
      <c r="I10" s="62"/>
      <c r="J10" s="27"/>
      <c r="K10" s="44"/>
      <c r="L10"/>
    </row>
    <row r="11" spans="1:14" ht="18.75" x14ac:dyDescent="0.25">
      <c r="A11" s="5"/>
      <c r="B11" s="28" t="s">
        <v>10</v>
      </c>
      <c r="C11" s="44"/>
      <c r="D11" s="24"/>
      <c r="E11" s="24"/>
      <c r="F11" s="27"/>
      <c r="G11" s="71"/>
      <c r="H11" s="92"/>
      <c r="I11" s="62"/>
      <c r="J11" s="27"/>
      <c r="K11" s="44"/>
      <c r="L11"/>
    </row>
    <row r="12" spans="1:14" ht="18.75" x14ac:dyDescent="0.2">
      <c r="A12" s="5"/>
      <c r="B12" s="29" t="s">
        <v>11</v>
      </c>
      <c r="C12" s="44"/>
      <c r="D12" s="24"/>
      <c r="E12" s="24"/>
      <c r="F12" s="27"/>
      <c r="G12" s="71"/>
      <c r="H12" s="92"/>
      <c r="I12" s="62"/>
      <c r="J12" s="27"/>
      <c r="K12" s="44"/>
      <c r="L12"/>
    </row>
    <row r="13" spans="1:14" ht="18.75" x14ac:dyDescent="0.25">
      <c r="A13" s="5"/>
      <c r="B13" s="28" t="s">
        <v>12</v>
      </c>
      <c r="C13" s="44"/>
      <c r="D13" s="24"/>
      <c r="E13" s="24"/>
      <c r="F13" s="27"/>
      <c r="G13" s="71"/>
      <c r="H13" s="92"/>
      <c r="I13" s="62"/>
      <c r="J13" s="27"/>
      <c r="K13" s="44"/>
      <c r="L13"/>
    </row>
    <row r="14" spans="1:14" ht="18.75" x14ac:dyDescent="0.25">
      <c r="A14" s="5"/>
      <c r="B14" s="28" t="s">
        <v>13</v>
      </c>
      <c r="C14" s="44"/>
      <c r="D14" s="24"/>
      <c r="E14" s="24"/>
      <c r="F14" s="27"/>
      <c r="G14" s="71"/>
      <c r="H14" s="92"/>
      <c r="I14" s="62"/>
      <c r="J14" s="27"/>
      <c r="K14" s="44"/>
      <c r="L14"/>
    </row>
    <row r="15" spans="1:14" ht="51" x14ac:dyDescent="0.2">
      <c r="A15" s="5"/>
      <c r="B15" s="22" t="s">
        <v>14</v>
      </c>
      <c r="C15" s="23" t="s">
        <v>17</v>
      </c>
      <c r="D15" s="24"/>
      <c r="E15" s="25" t="s">
        <v>20</v>
      </c>
      <c r="F15" s="26" t="s">
        <v>22</v>
      </c>
      <c r="G15" s="70">
        <v>7</v>
      </c>
      <c r="H15" s="92"/>
      <c r="I15" s="92"/>
      <c r="J15" s="27"/>
      <c r="K15" s="89" t="s">
        <v>452</v>
      </c>
      <c r="L15"/>
      <c r="M15" s="124">
        <v>33870</v>
      </c>
      <c r="N15" t="s">
        <v>484</v>
      </c>
    </row>
    <row r="16" spans="1:14" ht="18.75" x14ac:dyDescent="0.25">
      <c r="A16" s="5"/>
      <c r="B16" s="28" t="s">
        <v>3</v>
      </c>
      <c r="C16" s="44"/>
      <c r="D16" s="24"/>
      <c r="E16" s="24"/>
      <c r="F16" s="27"/>
      <c r="G16" s="71"/>
      <c r="H16" s="92"/>
      <c r="I16" s="62"/>
      <c r="J16" s="27"/>
      <c r="K16" s="44"/>
      <c r="L16"/>
    </row>
    <row r="17" spans="1:14" ht="18.75" x14ac:dyDescent="0.25">
      <c r="A17" s="5"/>
      <c r="B17" s="28" t="s">
        <v>4</v>
      </c>
      <c r="C17" s="44"/>
      <c r="D17" s="24"/>
      <c r="E17" s="24"/>
      <c r="F17" s="27"/>
      <c r="G17" s="71"/>
      <c r="H17" s="92"/>
      <c r="I17" s="62"/>
      <c r="J17" s="27"/>
      <c r="K17" s="44"/>
      <c r="L17"/>
    </row>
    <row r="18" spans="1:14" ht="18.75" x14ac:dyDescent="0.25">
      <c r="A18" s="5"/>
      <c r="B18" s="28" t="s">
        <v>5</v>
      </c>
      <c r="C18" s="44"/>
      <c r="D18" s="24"/>
      <c r="E18" s="24"/>
      <c r="F18" s="27"/>
      <c r="G18" s="71"/>
      <c r="H18" s="92"/>
      <c r="I18" s="62"/>
      <c r="J18" s="27"/>
      <c r="K18" s="44"/>
      <c r="L18"/>
    </row>
    <row r="19" spans="1:14" ht="18.75" x14ac:dyDescent="0.25">
      <c r="A19" s="5"/>
      <c r="B19" s="28" t="s">
        <v>6</v>
      </c>
      <c r="C19" s="44"/>
      <c r="D19" s="24"/>
      <c r="E19" s="24"/>
      <c r="F19" s="27"/>
      <c r="G19" s="71"/>
      <c r="H19" s="92"/>
      <c r="I19" s="62"/>
      <c r="J19" s="27"/>
      <c r="K19" s="44"/>
      <c r="L19"/>
    </row>
    <row r="20" spans="1:14" ht="18.75" x14ac:dyDescent="0.25">
      <c r="A20" s="5"/>
      <c r="B20" s="28" t="s">
        <v>15</v>
      </c>
      <c r="C20" s="44"/>
      <c r="D20" s="24"/>
      <c r="E20" s="24"/>
      <c r="F20" s="27"/>
      <c r="G20" s="71"/>
      <c r="H20" s="92"/>
      <c r="I20" s="62"/>
      <c r="J20" s="27"/>
      <c r="K20" s="44"/>
      <c r="L20"/>
    </row>
    <row r="21" spans="1:14" ht="18.75" x14ac:dyDescent="0.25">
      <c r="A21" s="5"/>
      <c r="B21" s="28" t="s">
        <v>8</v>
      </c>
      <c r="C21" s="44"/>
      <c r="D21" s="24"/>
      <c r="E21" s="24"/>
      <c r="F21" s="27"/>
      <c r="G21" s="71"/>
      <c r="H21" s="92"/>
      <c r="I21" s="62"/>
      <c r="J21" s="27"/>
      <c r="K21" s="44"/>
      <c r="L21"/>
    </row>
    <row r="22" spans="1:14" ht="18.75" x14ac:dyDescent="0.25">
      <c r="A22" s="5"/>
      <c r="B22" s="28" t="s">
        <v>9</v>
      </c>
      <c r="C22" s="44"/>
      <c r="D22" s="24"/>
      <c r="E22" s="24"/>
      <c r="F22" s="27"/>
      <c r="G22" s="71"/>
      <c r="H22" s="92"/>
      <c r="I22" s="62"/>
      <c r="J22" s="27"/>
      <c r="K22" s="44"/>
      <c r="L22"/>
    </row>
    <row r="23" spans="1:14" ht="18.75" x14ac:dyDescent="0.25">
      <c r="A23" s="5"/>
      <c r="B23" s="28" t="s">
        <v>10</v>
      </c>
      <c r="C23" s="44"/>
      <c r="D23" s="24"/>
      <c r="E23" s="24"/>
      <c r="F23" s="27"/>
      <c r="G23" s="71"/>
      <c r="H23" s="92"/>
      <c r="I23" s="62"/>
      <c r="J23" s="27"/>
      <c r="K23" s="44"/>
      <c r="L23"/>
    </row>
    <row r="24" spans="1:14" ht="18.75" x14ac:dyDescent="0.2">
      <c r="A24" s="5"/>
      <c r="B24" s="29" t="s">
        <v>11</v>
      </c>
      <c r="C24" s="44"/>
      <c r="D24" s="24"/>
      <c r="E24" s="24"/>
      <c r="F24" s="27"/>
      <c r="G24" s="71"/>
      <c r="H24" s="92"/>
      <c r="I24" s="62"/>
      <c r="J24" s="27"/>
      <c r="K24" s="44"/>
      <c r="L24"/>
    </row>
    <row r="25" spans="1:14" x14ac:dyDescent="0.25">
      <c r="A25" s="11"/>
      <c r="B25" s="30"/>
      <c r="C25" s="53"/>
      <c r="D25" s="30"/>
      <c r="E25" s="30"/>
      <c r="F25" s="30"/>
      <c r="G25" s="72"/>
      <c r="H25" s="92"/>
      <c r="I25" s="63"/>
      <c r="J25" s="30"/>
      <c r="K25" s="53"/>
      <c r="L25"/>
    </row>
    <row r="26" spans="1:14" ht="18.75" x14ac:dyDescent="0.25">
      <c r="A26" s="7"/>
      <c r="B26" s="28" t="s">
        <v>25</v>
      </c>
      <c r="C26" s="44"/>
      <c r="D26" s="27"/>
      <c r="E26" s="24"/>
      <c r="F26" s="29"/>
      <c r="G26" s="71"/>
      <c r="H26" s="92"/>
      <c r="I26" s="62"/>
      <c r="J26" s="29"/>
      <c r="K26" s="44"/>
      <c r="L26"/>
    </row>
    <row r="27" spans="1:14" ht="18.75" x14ac:dyDescent="0.25">
      <c r="A27" s="7"/>
      <c r="B27" s="28" t="s">
        <v>13</v>
      </c>
      <c r="C27" s="44"/>
      <c r="D27" s="27"/>
      <c r="E27" s="24"/>
      <c r="F27" s="29"/>
      <c r="G27" s="71"/>
      <c r="H27" s="92"/>
      <c r="I27" s="62"/>
      <c r="J27" s="29"/>
      <c r="K27" s="44"/>
      <c r="L27"/>
    </row>
    <row r="28" spans="1:14" ht="51" x14ac:dyDescent="0.2">
      <c r="A28" s="7"/>
      <c r="B28" s="22" t="s">
        <v>26</v>
      </c>
      <c r="C28" s="23" t="s">
        <v>32</v>
      </c>
      <c r="D28" s="27"/>
      <c r="E28" s="25" t="s">
        <v>20</v>
      </c>
      <c r="F28" s="26" t="s">
        <v>22</v>
      </c>
      <c r="G28" s="70">
        <v>8</v>
      </c>
      <c r="H28" s="92"/>
      <c r="I28" s="92"/>
      <c r="J28" s="29"/>
      <c r="K28" s="89" t="s">
        <v>453</v>
      </c>
      <c r="L28"/>
      <c r="M28" s="124">
        <v>33870</v>
      </c>
      <c r="N28" t="s">
        <v>484</v>
      </c>
    </row>
    <row r="29" spans="1:14" ht="18.75" x14ac:dyDescent="0.25">
      <c r="A29" s="7"/>
      <c r="B29" s="28" t="s">
        <v>3</v>
      </c>
      <c r="C29" s="44"/>
      <c r="D29" s="27"/>
      <c r="E29" s="24"/>
      <c r="F29" s="29"/>
      <c r="G29" s="71"/>
      <c r="H29" s="92"/>
      <c r="I29" s="62"/>
      <c r="J29" s="29"/>
      <c r="K29" s="44"/>
      <c r="L29"/>
    </row>
    <row r="30" spans="1:14" ht="18.75" x14ac:dyDescent="0.25">
      <c r="A30" s="7"/>
      <c r="B30" s="28" t="s">
        <v>4</v>
      </c>
      <c r="C30" s="44"/>
      <c r="D30" s="27"/>
      <c r="E30" s="24"/>
      <c r="F30" s="29"/>
      <c r="G30" s="71"/>
      <c r="H30" s="92"/>
      <c r="I30" s="62"/>
      <c r="J30" s="29"/>
      <c r="K30" s="44"/>
      <c r="L30"/>
    </row>
    <row r="31" spans="1:14" ht="18.75" x14ac:dyDescent="0.25">
      <c r="A31" s="7"/>
      <c r="B31" s="28" t="s">
        <v>5</v>
      </c>
      <c r="C31" s="44"/>
      <c r="D31" s="27"/>
      <c r="E31" s="24"/>
      <c r="F31" s="29"/>
      <c r="G31" s="71"/>
      <c r="H31" s="92"/>
      <c r="I31" s="62"/>
      <c r="J31" s="29"/>
      <c r="K31" s="44"/>
      <c r="L31"/>
    </row>
    <row r="32" spans="1:14" ht="18.75" x14ac:dyDescent="0.25">
      <c r="A32" s="7"/>
      <c r="B32" s="28" t="s">
        <v>6</v>
      </c>
      <c r="C32" s="44"/>
      <c r="D32" s="27"/>
      <c r="E32" s="24"/>
      <c r="F32" s="29"/>
      <c r="G32" s="71"/>
      <c r="H32" s="92"/>
      <c r="I32" s="62"/>
      <c r="J32" s="29"/>
      <c r="K32" s="44"/>
      <c r="L32"/>
    </row>
    <row r="33" spans="1:12" ht="18.75" x14ac:dyDescent="0.25">
      <c r="A33" s="7"/>
      <c r="B33" s="28" t="s">
        <v>27</v>
      </c>
      <c r="C33" s="44"/>
      <c r="D33" s="27"/>
      <c r="E33" s="24"/>
      <c r="F33" s="29"/>
      <c r="G33" s="71"/>
      <c r="H33" s="92"/>
      <c r="I33" s="62"/>
      <c r="J33" s="29"/>
      <c r="K33" s="44"/>
      <c r="L33"/>
    </row>
    <row r="34" spans="1:12" ht="18.75" x14ac:dyDescent="0.25">
      <c r="A34" s="7"/>
      <c r="B34" s="28" t="s">
        <v>8</v>
      </c>
      <c r="C34" s="44"/>
      <c r="D34" s="27"/>
      <c r="E34" s="24"/>
      <c r="F34" s="29"/>
      <c r="G34" s="71"/>
      <c r="H34" s="92"/>
      <c r="I34" s="62"/>
      <c r="J34" s="29"/>
      <c r="K34" s="44"/>
      <c r="L34"/>
    </row>
    <row r="35" spans="1:12" ht="18.75" x14ac:dyDescent="0.25">
      <c r="A35" s="7"/>
      <c r="B35" s="28" t="s">
        <v>9</v>
      </c>
      <c r="C35" s="44"/>
      <c r="D35" s="27"/>
      <c r="E35" s="24"/>
      <c r="F35" s="29"/>
      <c r="G35" s="71"/>
      <c r="H35" s="92"/>
      <c r="I35" s="62"/>
      <c r="J35" s="29"/>
      <c r="K35" s="44"/>
      <c r="L35"/>
    </row>
    <row r="36" spans="1:12" ht="18.75" x14ac:dyDescent="0.25">
      <c r="A36" s="7"/>
      <c r="B36" s="28" t="s">
        <v>10</v>
      </c>
      <c r="C36" s="44"/>
      <c r="D36" s="27"/>
      <c r="E36" s="24"/>
      <c r="F36" s="29"/>
      <c r="G36" s="71"/>
      <c r="H36" s="92"/>
      <c r="I36" s="62"/>
      <c r="J36" s="29"/>
      <c r="K36" s="44"/>
      <c r="L36"/>
    </row>
    <row r="37" spans="1:12" ht="18.75" x14ac:dyDescent="0.2">
      <c r="A37" s="7"/>
      <c r="B37" s="29" t="s">
        <v>11</v>
      </c>
      <c r="C37" s="44"/>
      <c r="D37" s="27"/>
      <c r="E37" s="24"/>
      <c r="F37" s="29"/>
      <c r="G37" s="71"/>
      <c r="H37" s="92"/>
      <c r="I37" s="62"/>
      <c r="J37" s="29"/>
      <c r="K37" s="44"/>
      <c r="L37"/>
    </row>
    <row r="38" spans="1:12" ht="18.75" x14ac:dyDescent="0.25">
      <c r="A38" s="7"/>
      <c r="B38" s="28" t="s">
        <v>28</v>
      </c>
      <c r="C38" s="44"/>
      <c r="D38" s="27"/>
      <c r="E38" s="24"/>
      <c r="F38" s="29"/>
      <c r="G38" s="71"/>
      <c r="H38" s="92"/>
      <c r="I38" s="62"/>
      <c r="J38" s="29"/>
      <c r="K38" s="44"/>
      <c r="L38"/>
    </row>
    <row r="39" spans="1:12" ht="18.75" x14ac:dyDescent="0.25">
      <c r="A39" s="7"/>
      <c r="B39" s="28" t="s">
        <v>13</v>
      </c>
      <c r="C39" s="44"/>
      <c r="D39" s="27"/>
      <c r="E39" s="24"/>
      <c r="F39" s="29"/>
      <c r="G39" s="71"/>
      <c r="H39" s="92"/>
      <c r="I39" s="62"/>
      <c r="J39" s="29"/>
      <c r="K39" s="44"/>
      <c r="L39"/>
    </row>
    <row r="40" spans="1:12" ht="38.25" x14ac:dyDescent="0.25">
      <c r="A40" s="7"/>
      <c r="B40" s="28" t="s">
        <v>29</v>
      </c>
      <c r="C40" s="54" t="s">
        <v>33</v>
      </c>
      <c r="D40" s="27"/>
      <c r="E40" s="31" t="s">
        <v>20</v>
      </c>
      <c r="F40" s="32" t="s">
        <v>22</v>
      </c>
      <c r="G40" s="72">
        <v>95</v>
      </c>
      <c r="H40" s="92"/>
      <c r="I40" s="92"/>
      <c r="J40" s="29"/>
      <c r="K40" s="89" t="s">
        <v>454</v>
      </c>
      <c r="L40"/>
    </row>
    <row r="41" spans="1:12" ht="51" x14ac:dyDescent="0.25">
      <c r="A41" s="7"/>
      <c r="B41" s="10" t="s">
        <v>30</v>
      </c>
      <c r="C41" s="55" t="s">
        <v>34</v>
      </c>
      <c r="D41" s="7"/>
      <c r="E41" s="12" t="s">
        <v>46</v>
      </c>
      <c r="F41" s="13" t="s">
        <v>22</v>
      </c>
      <c r="G41" s="73">
        <v>1</v>
      </c>
      <c r="H41" s="91"/>
      <c r="I41" s="91"/>
      <c r="J41" s="8"/>
      <c r="K41" s="4" t="s">
        <v>47</v>
      </c>
      <c r="L41" s="114" t="s">
        <v>447</v>
      </c>
    </row>
    <row r="42" spans="1:12" ht="64.5" x14ac:dyDescent="0.25">
      <c r="A42" s="7"/>
      <c r="B42" s="10" t="s">
        <v>30</v>
      </c>
      <c r="C42" s="55" t="s">
        <v>35</v>
      </c>
      <c r="D42" s="7"/>
      <c r="E42" s="12" t="s">
        <v>46</v>
      </c>
      <c r="F42" s="13" t="s">
        <v>22</v>
      </c>
      <c r="G42" s="73">
        <v>14</v>
      </c>
      <c r="H42" s="91"/>
      <c r="I42" s="91"/>
      <c r="J42" s="8"/>
      <c r="K42" s="4"/>
      <c r="L42" s="122" t="s">
        <v>446</v>
      </c>
    </row>
    <row r="43" spans="1:12" ht="18.75" x14ac:dyDescent="0.25">
      <c r="A43" s="7"/>
      <c r="B43" s="10" t="s">
        <v>30</v>
      </c>
      <c r="C43" s="55" t="s">
        <v>36</v>
      </c>
      <c r="D43" s="7"/>
      <c r="E43" s="12" t="s">
        <v>46</v>
      </c>
      <c r="F43" s="13" t="s">
        <v>22</v>
      </c>
      <c r="G43" s="73">
        <v>1</v>
      </c>
      <c r="H43" s="91"/>
      <c r="I43" s="91"/>
      <c r="J43" s="8"/>
      <c r="K43" s="4"/>
      <c r="L43" s="114"/>
    </row>
    <row r="44" spans="1:12" ht="18.75" x14ac:dyDescent="0.25">
      <c r="A44" s="7"/>
      <c r="B44" s="10" t="s">
        <v>30</v>
      </c>
      <c r="C44" s="55" t="s">
        <v>37</v>
      </c>
      <c r="D44" s="7"/>
      <c r="E44" s="12" t="s">
        <v>46</v>
      </c>
      <c r="F44" s="13" t="s">
        <v>22</v>
      </c>
      <c r="G44" s="73">
        <v>1</v>
      </c>
      <c r="H44" s="91"/>
      <c r="I44" s="91"/>
      <c r="J44" s="8"/>
      <c r="K44" s="4"/>
      <c r="L44" s="114"/>
    </row>
    <row r="45" spans="1:12" ht="89.25" x14ac:dyDescent="0.25">
      <c r="A45" s="7"/>
      <c r="B45" s="10" t="s">
        <v>31</v>
      </c>
      <c r="C45" s="55" t="s">
        <v>38</v>
      </c>
      <c r="D45" s="7"/>
      <c r="E45" s="12" t="s">
        <v>46</v>
      </c>
      <c r="F45" s="13" t="s">
        <v>22</v>
      </c>
      <c r="G45" s="73">
        <v>42</v>
      </c>
      <c r="H45" s="91"/>
      <c r="I45" s="91"/>
      <c r="J45" s="8"/>
      <c r="K45" s="4" t="s">
        <v>48</v>
      </c>
      <c r="L45" s="114" t="s">
        <v>448</v>
      </c>
    </row>
    <row r="46" spans="1:12" ht="18.75" x14ac:dyDescent="0.25">
      <c r="A46" s="7"/>
      <c r="B46" s="10" t="s">
        <v>31</v>
      </c>
      <c r="C46" s="55" t="s">
        <v>39</v>
      </c>
      <c r="D46" s="7"/>
      <c r="E46" s="12" t="s">
        <v>46</v>
      </c>
      <c r="F46" s="13" t="s">
        <v>22</v>
      </c>
      <c r="G46" s="73">
        <v>35</v>
      </c>
      <c r="H46" s="91"/>
      <c r="I46" s="91"/>
      <c r="J46" s="8"/>
      <c r="K46" s="4"/>
      <c r="L46" s="114"/>
    </row>
    <row r="47" spans="1:12" ht="18.75" x14ac:dyDescent="0.25">
      <c r="A47" s="7"/>
      <c r="B47" s="10" t="s">
        <v>31</v>
      </c>
      <c r="C47" s="55" t="s">
        <v>40</v>
      </c>
      <c r="D47" s="7"/>
      <c r="E47" s="12" t="s">
        <v>46</v>
      </c>
      <c r="F47" s="13" t="s">
        <v>22</v>
      </c>
      <c r="G47" s="73">
        <v>4</v>
      </c>
      <c r="H47" s="91"/>
      <c r="I47" s="91"/>
      <c r="J47" s="8"/>
      <c r="K47" s="4"/>
      <c r="L47" s="114"/>
    </row>
    <row r="48" spans="1:12" ht="18.75" x14ac:dyDescent="0.25">
      <c r="A48" s="7"/>
      <c r="B48" s="10" t="s">
        <v>31</v>
      </c>
      <c r="C48" s="55" t="s">
        <v>41</v>
      </c>
      <c r="D48" s="7"/>
      <c r="E48" s="12" t="s">
        <v>46</v>
      </c>
      <c r="F48" s="13" t="s">
        <v>22</v>
      </c>
      <c r="G48" s="73">
        <v>4</v>
      </c>
      <c r="H48" s="91"/>
      <c r="I48" s="91"/>
      <c r="J48" s="8"/>
      <c r="K48" s="4"/>
      <c r="L48" s="114"/>
    </row>
    <row r="49" spans="1:14" ht="18.75" x14ac:dyDescent="0.25">
      <c r="A49" s="7"/>
      <c r="B49" s="10" t="s">
        <v>31</v>
      </c>
      <c r="C49" s="55" t="s">
        <v>42</v>
      </c>
      <c r="D49" s="7"/>
      <c r="E49" s="12" t="s">
        <v>46</v>
      </c>
      <c r="F49" s="13" t="s">
        <v>22</v>
      </c>
      <c r="G49" s="73">
        <v>28</v>
      </c>
      <c r="H49" s="91"/>
      <c r="I49" s="91"/>
      <c r="J49" s="8"/>
      <c r="K49" s="4"/>
      <c r="L49" s="114" t="s">
        <v>447</v>
      </c>
    </row>
    <row r="50" spans="1:14" ht="18.75" x14ac:dyDescent="0.25">
      <c r="A50" s="7"/>
      <c r="B50" s="10" t="s">
        <v>31</v>
      </c>
      <c r="C50" s="55" t="s">
        <v>43</v>
      </c>
      <c r="D50" s="7"/>
      <c r="E50" s="12" t="s">
        <v>46</v>
      </c>
      <c r="F50" s="13" t="s">
        <v>22</v>
      </c>
      <c r="G50" s="73">
        <v>24</v>
      </c>
      <c r="H50" s="91"/>
      <c r="I50" s="91"/>
      <c r="J50" s="8"/>
      <c r="K50" s="4"/>
      <c r="L50"/>
    </row>
    <row r="51" spans="1:14" ht="18.75" x14ac:dyDescent="0.25">
      <c r="A51" s="7"/>
      <c r="B51" s="10" t="s">
        <v>31</v>
      </c>
      <c r="C51" s="55" t="s">
        <v>44</v>
      </c>
      <c r="D51" s="7"/>
      <c r="E51" s="12" t="s">
        <v>46</v>
      </c>
      <c r="F51" s="13" t="s">
        <v>22</v>
      </c>
      <c r="G51" s="73">
        <v>8</v>
      </c>
      <c r="H51" s="91"/>
      <c r="I51" s="91"/>
      <c r="J51" s="8"/>
      <c r="K51" s="4"/>
      <c r="L51"/>
    </row>
    <row r="52" spans="1:14" ht="18.75" x14ac:dyDescent="0.25">
      <c r="A52" s="7"/>
      <c r="B52" s="10" t="s">
        <v>31</v>
      </c>
      <c r="C52" s="55" t="s">
        <v>45</v>
      </c>
      <c r="D52" s="7"/>
      <c r="E52" s="12" t="s">
        <v>46</v>
      </c>
      <c r="F52" s="13" t="s">
        <v>22</v>
      </c>
      <c r="G52" s="73">
        <v>38</v>
      </c>
      <c r="H52" s="91"/>
      <c r="I52" s="91"/>
      <c r="J52" s="8"/>
      <c r="K52" s="4"/>
      <c r="L52"/>
    </row>
    <row r="53" spans="1:14" x14ac:dyDescent="0.25">
      <c r="A53" s="11"/>
      <c r="B53" s="11"/>
      <c r="C53" s="56"/>
      <c r="D53" s="11"/>
      <c r="E53" s="11"/>
      <c r="F53" s="11"/>
      <c r="G53" s="73"/>
      <c r="H53" s="91"/>
      <c r="I53" s="64"/>
      <c r="J53" s="11"/>
      <c r="K53" s="56"/>
      <c r="L53"/>
    </row>
    <row r="54" spans="1:14" ht="18.75" x14ac:dyDescent="0.25">
      <c r="A54" s="7"/>
      <c r="B54" s="10" t="s">
        <v>31</v>
      </c>
      <c r="C54" s="55" t="s">
        <v>67</v>
      </c>
      <c r="D54" s="7"/>
      <c r="E54" s="12" t="s">
        <v>46</v>
      </c>
      <c r="F54" s="14" t="s">
        <v>22</v>
      </c>
      <c r="G54" s="73">
        <v>45</v>
      </c>
      <c r="H54" s="91"/>
      <c r="I54" s="91"/>
      <c r="J54" s="8"/>
      <c r="K54" s="20"/>
      <c r="L54"/>
    </row>
    <row r="55" spans="1:14" ht="18.75" x14ac:dyDescent="0.25">
      <c r="A55" s="7"/>
      <c r="B55" s="10" t="s">
        <v>31</v>
      </c>
      <c r="C55" s="55" t="s">
        <v>68</v>
      </c>
      <c r="D55" s="7"/>
      <c r="E55" s="12" t="s">
        <v>46</v>
      </c>
      <c r="F55" s="14" t="s">
        <v>22</v>
      </c>
      <c r="G55" s="73">
        <v>52</v>
      </c>
      <c r="H55" s="91"/>
      <c r="I55" s="91"/>
      <c r="J55" s="8"/>
      <c r="K55" s="20"/>
      <c r="L55"/>
    </row>
    <row r="56" spans="1:14" ht="18.75" x14ac:dyDescent="0.25">
      <c r="A56" s="7"/>
      <c r="B56" s="10" t="s">
        <v>31</v>
      </c>
      <c r="C56" s="55" t="s">
        <v>69</v>
      </c>
      <c r="D56" s="7"/>
      <c r="E56" s="12" t="s">
        <v>46</v>
      </c>
      <c r="F56" s="14" t="s">
        <v>22</v>
      </c>
      <c r="G56" s="73">
        <v>14</v>
      </c>
      <c r="H56" s="91"/>
      <c r="I56" s="91"/>
      <c r="J56" s="8"/>
      <c r="K56" s="20"/>
      <c r="L56"/>
    </row>
    <row r="57" spans="1:14" ht="76.5" x14ac:dyDescent="0.2">
      <c r="A57" s="7"/>
      <c r="B57" s="33" t="s">
        <v>49</v>
      </c>
      <c r="C57" s="44"/>
      <c r="D57" s="123" t="s">
        <v>496</v>
      </c>
      <c r="E57" s="25" t="s">
        <v>20</v>
      </c>
      <c r="F57" s="34" t="s">
        <v>22</v>
      </c>
      <c r="G57" s="70">
        <v>294</v>
      </c>
      <c r="H57" s="92"/>
      <c r="I57" s="92"/>
      <c r="J57" s="29"/>
      <c r="K57" s="89" t="s">
        <v>455</v>
      </c>
      <c r="L57"/>
      <c r="M57" s="124">
        <f>603.75+230</f>
        <v>833.75</v>
      </c>
      <c r="N57" s="122" t="s">
        <v>497</v>
      </c>
    </row>
    <row r="58" spans="1:14" ht="102.75" x14ac:dyDescent="0.25">
      <c r="A58" s="7"/>
      <c r="B58" s="108" t="s">
        <v>461</v>
      </c>
      <c r="C58" s="44"/>
      <c r="D58" s="27"/>
      <c r="E58" s="24"/>
      <c r="F58" s="34" t="s">
        <v>22</v>
      </c>
      <c r="G58" s="70">
        <v>294</v>
      </c>
      <c r="H58" s="107"/>
      <c r="I58" s="92"/>
      <c r="J58" s="29"/>
      <c r="K58" s="117" t="s">
        <v>471</v>
      </c>
      <c r="L58" s="118" t="s">
        <v>472</v>
      </c>
    </row>
    <row r="59" spans="1:14" ht="27.75" x14ac:dyDescent="0.35">
      <c r="A59" s="7"/>
      <c r="B59" s="28" t="s">
        <v>50</v>
      </c>
      <c r="C59" s="54" t="s">
        <v>70</v>
      </c>
      <c r="D59" s="27"/>
      <c r="E59" s="31" t="s">
        <v>20</v>
      </c>
      <c r="F59" s="36" t="s">
        <v>22</v>
      </c>
      <c r="G59" s="72">
        <v>8</v>
      </c>
      <c r="H59" s="92"/>
      <c r="I59" s="92"/>
      <c r="J59" s="29"/>
      <c r="K59" s="44"/>
      <c r="L59"/>
      <c r="M59" s="125">
        <v>260.66000000000003</v>
      </c>
      <c r="N59" s="122" t="s">
        <v>493</v>
      </c>
    </row>
    <row r="60" spans="1:14" ht="40.5" x14ac:dyDescent="0.35">
      <c r="A60" s="7"/>
      <c r="B60" s="28" t="s">
        <v>51</v>
      </c>
      <c r="C60" s="54" t="s">
        <v>71</v>
      </c>
      <c r="D60" s="27"/>
      <c r="E60" s="31" t="s">
        <v>20</v>
      </c>
      <c r="F60" s="36" t="s">
        <v>22</v>
      </c>
      <c r="G60" s="72">
        <v>14</v>
      </c>
      <c r="H60" s="92"/>
      <c r="I60" s="92"/>
      <c r="J60" s="29"/>
      <c r="K60" s="44"/>
      <c r="L60"/>
      <c r="M60" s="126">
        <v>192.14</v>
      </c>
      <c r="N60" s="122" t="s">
        <v>494</v>
      </c>
    </row>
    <row r="61" spans="1:14" ht="40.5" x14ac:dyDescent="0.35">
      <c r="A61" s="7"/>
      <c r="B61" s="28" t="s">
        <v>52</v>
      </c>
      <c r="C61" s="54" t="s">
        <v>71</v>
      </c>
      <c r="D61" s="27"/>
      <c r="E61" s="31" t="s">
        <v>20</v>
      </c>
      <c r="F61" s="36" t="s">
        <v>22</v>
      </c>
      <c r="G61" s="72">
        <v>10</v>
      </c>
      <c r="H61" s="92"/>
      <c r="I61" s="92"/>
      <c r="J61" s="29"/>
      <c r="K61" s="44"/>
      <c r="L61"/>
      <c r="M61" s="127">
        <v>599.5</v>
      </c>
      <c r="N61" s="122" t="s">
        <v>495</v>
      </c>
    </row>
    <row r="62" spans="1:14" ht="21" x14ac:dyDescent="0.2">
      <c r="A62" s="7"/>
      <c r="B62" s="29" t="s">
        <v>53</v>
      </c>
      <c r="C62" s="23" t="s">
        <v>72</v>
      </c>
      <c r="D62" s="27"/>
      <c r="E62" s="37" t="s">
        <v>20</v>
      </c>
      <c r="F62" s="38" t="s">
        <v>22</v>
      </c>
      <c r="G62" s="71">
        <v>2</v>
      </c>
      <c r="H62" s="92"/>
      <c r="I62" s="92"/>
      <c r="J62" s="29"/>
      <c r="K62" s="44"/>
      <c r="L62"/>
    </row>
    <row r="63" spans="1:14" ht="21" x14ac:dyDescent="0.2">
      <c r="A63" s="7"/>
      <c r="B63" s="29" t="s">
        <v>54</v>
      </c>
      <c r="C63" s="23" t="s">
        <v>73</v>
      </c>
      <c r="D63" s="27"/>
      <c r="E63" s="37" t="s">
        <v>20</v>
      </c>
      <c r="F63" s="38" t="s">
        <v>22</v>
      </c>
      <c r="G63" s="71">
        <v>2</v>
      </c>
      <c r="H63" s="92"/>
      <c r="I63" s="92"/>
      <c r="J63" s="29"/>
      <c r="K63" s="44"/>
      <c r="L63"/>
    </row>
    <row r="64" spans="1:14" ht="21" x14ac:dyDescent="0.35">
      <c r="A64" s="7"/>
      <c r="B64" s="28" t="s">
        <v>55</v>
      </c>
      <c r="C64" s="54" t="s">
        <v>73</v>
      </c>
      <c r="D64" s="27"/>
      <c r="E64" s="31" t="s">
        <v>20</v>
      </c>
      <c r="F64" s="36" t="s">
        <v>22</v>
      </c>
      <c r="G64" s="72">
        <v>2</v>
      </c>
      <c r="H64" s="92"/>
      <c r="I64" s="92"/>
      <c r="J64" s="29"/>
      <c r="K64" s="44"/>
      <c r="L64"/>
    </row>
    <row r="65" spans="1:12" ht="21" x14ac:dyDescent="0.35">
      <c r="A65" s="7"/>
      <c r="B65" s="28" t="s">
        <v>56</v>
      </c>
      <c r="C65" s="54" t="s">
        <v>74</v>
      </c>
      <c r="D65" s="27"/>
      <c r="E65" s="31" t="s">
        <v>20</v>
      </c>
      <c r="F65" s="36" t="s">
        <v>22</v>
      </c>
      <c r="G65" s="72">
        <v>2</v>
      </c>
      <c r="H65" s="92"/>
      <c r="I65" s="92"/>
      <c r="J65" s="29"/>
      <c r="K65" s="44"/>
      <c r="L65"/>
    </row>
    <row r="66" spans="1:12" ht="18.75" x14ac:dyDescent="0.25">
      <c r="A66" s="7"/>
      <c r="B66" s="10" t="s">
        <v>57</v>
      </c>
      <c r="C66" s="20"/>
      <c r="D66" s="7"/>
      <c r="E66" s="5"/>
      <c r="F66" s="8"/>
      <c r="G66" s="74"/>
      <c r="H66" s="91"/>
      <c r="I66" s="65"/>
      <c r="J66" s="8"/>
      <c r="K66" s="20"/>
      <c r="L66"/>
    </row>
    <row r="67" spans="1:12" ht="25.5" x14ac:dyDescent="0.2">
      <c r="A67" s="7"/>
      <c r="B67" s="18" t="s">
        <v>58</v>
      </c>
      <c r="C67" s="83" t="s">
        <v>449</v>
      </c>
      <c r="D67" s="7"/>
      <c r="E67" s="5"/>
      <c r="F67" s="17" t="s">
        <v>22</v>
      </c>
      <c r="G67" s="74">
        <v>4</v>
      </c>
      <c r="H67" s="91"/>
      <c r="I67" s="103"/>
      <c r="J67" s="8"/>
      <c r="K67" s="86" t="s">
        <v>450</v>
      </c>
      <c r="L67"/>
    </row>
    <row r="68" spans="1:12" ht="18.75" x14ac:dyDescent="0.25">
      <c r="A68" s="7"/>
      <c r="B68" s="19" t="s">
        <v>59</v>
      </c>
      <c r="C68" s="55" t="s">
        <v>75</v>
      </c>
      <c r="D68" s="7"/>
      <c r="E68" s="5"/>
      <c r="F68" s="14" t="s">
        <v>22</v>
      </c>
      <c r="G68" s="73">
        <v>2</v>
      </c>
      <c r="H68" s="91"/>
      <c r="I68" s="103"/>
      <c r="J68" s="8"/>
      <c r="K68" s="20"/>
      <c r="L68"/>
    </row>
    <row r="69" spans="1:12" ht="18.75" x14ac:dyDescent="0.25">
      <c r="A69" s="7"/>
      <c r="B69" s="19" t="s">
        <v>60</v>
      </c>
      <c r="C69" s="55" t="s">
        <v>75</v>
      </c>
      <c r="D69" s="7"/>
      <c r="E69" s="5"/>
      <c r="F69" s="14" t="s">
        <v>22</v>
      </c>
      <c r="G69" s="73">
        <v>2</v>
      </c>
      <c r="H69" s="91"/>
      <c r="I69" s="103"/>
      <c r="J69" s="8"/>
      <c r="K69" s="20"/>
      <c r="L69"/>
    </row>
    <row r="70" spans="1:12" ht="18.75" x14ac:dyDescent="0.2">
      <c r="A70" s="7"/>
      <c r="B70" s="18" t="s">
        <v>61</v>
      </c>
      <c r="C70" s="9" t="s">
        <v>75</v>
      </c>
      <c r="D70" s="7"/>
      <c r="E70" s="5"/>
      <c r="F70" s="17" t="s">
        <v>22</v>
      </c>
      <c r="G70" s="74">
        <v>4</v>
      </c>
      <c r="H70" s="91"/>
      <c r="I70" s="103"/>
      <c r="J70" s="8"/>
      <c r="K70" s="20"/>
      <c r="L70"/>
    </row>
    <row r="71" spans="1:12" ht="18.75" x14ac:dyDescent="0.2">
      <c r="A71" s="7"/>
      <c r="B71" s="18" t="s">
        <v>62</v>
      </c>
      <c r="C71" s="9" t="s">
        <v>75</v>
      </c>
      <c r="D71" s="7"/>
      <c r="E71" s="5"/>
      <c r="F71" s="17" t="s">
        <v>22</v>
      </c>
      <c r="G71" s="74">
        <v>4</v>
      </c>
      <c r="H71" s="91"/>
      <c r="I71" s="103"/>
      <c r="J71" s="8"/>
      <c r="K71" s="20"/>
      <c r="L71"/>
    </row>
    <row r="72" spans="1:12" ht="37.5" x14ac:dyDescent="0.25">
      <c r="A72" s="7"/>
      <c r="B72" s="35" t="s">
        <v>63</v>
      </c>
      <c r="C72" s="44"/>
      <c r="D72" s="27"/>
      <c r="E72" s="24"/>
      <c r="F72" s="29"/>
      <c r="G72" s="71"/>
      <c r="H72" s="92"/>
      <c r="I72" s="62"/>
      <c r="J72" s="29"/>
      <c r="K72" s="44"/>
      <c r="L72"/>
    </row>
    <row r="73" spans="1:12" ht="18.75" x14ac:dyDescent="0.25">
      <c r="A73" s="7"/>
      <c r="B73" s="39" t="s">
        <v>59</v>
      </c>
      <c r="C73" s="44"/>
      <c r="D73" s="27"/>
      <c r="E73" s="31" t="s">
        <v>20</v>
      </c>
      <c r="F73" s="36" t="s">
        <v>22</v>
      </c>
      <c r="G73" s="72">
        <v>4</v>
      </c>
      <c r="H73" s="92"/>
      <c r="I73" s="101"/>
      <c r="J73" s="29"/>
      <c r="K73" s="44"/>
      <c r="L73"/>
    </row>
    <row r="74" spans="1:12" ht="18.75" x14ac:dyDescent="0.25">
      <c r="A74" s="7"/>
      <c r="B74" s="39" t="s">
        <v>64</v>
      </c>
      <c r="C74" s="44"/>
      <c r="D74" s="27"/>
      <c r="E74" s="31" t="s">
        <v>20</v>
      </c>
      <c r="F74" s="36" t="s">
        <v>22</v>
      </c>
      <c r="G74" s="72">
        <v>4</v>
      </c>
      <c r="H74" s="92"/>
      <c r="I74" s="101"/>
      <c r="J74" s="29"/>
      <c r="K74" s="44"/>
      <c r="L74"/>
    </row>
    <row r="75" spans="1:12" ht="18.75" x14ac:dyDescent="0.25">
      <c r="A75" s="7"/>
      <c r="B75" s="10" t="s">
        <v>65</v>
      </c>
      <c r="C75" s="20"/>
      <c r="D75" s="7"/>
      <c r="E75" s="5"/>
      <c r="F75" s="8"/>
      <c r="G75" s="74"/>
      <c r="H75" s="91"/>
      <c r="I75" s="65"/>
      <c r="J75" s="8"/>
      <c r="K75" s="20"/>
      <c r="L75"/>
    </row>
    <row r="76" spans="1:12" ht="18.75" x14ac:dyDescent="0.2">
      <c r="A76" s="7"/>
      <c r="B76" s="8" t="s">
        <v>66</v>
      </c>
      <c r="C76" s="9" t="s">
        <v>76</v>
      </c>
      <c r="D76" s="7"/>
      <c r="E76" s="5"/>
      <c r="F76" s="6" t="s">
        <v>77</v>
      </c>
      <c r="G76" s="74">
        <v>94</v>
      </c>
      <c r="H76" s="91"/>
      <c r="I76" s="103"/>
      <c r="J76" s="8"/>
      <c r="K76" s="20"/>
      <c r="L76"/>
    </row>
    <row r="77" spans="1:12" x14ac:dyDescent="0.25">
      <c r="A77" s="11"/>
      <c r="B77" s="11"/>
      <c r="C77" s="56"/>
      <c r="D77" s="11"/>
      <c r="E77" s="11"/>
      <c r="F77" s="11"/>
      <c r="G77" s="73"/>
      <c r="H77" s="91"/>
      <c r="I77" s="64"/>
      <c r="J77" s="11"/>
      <c r="K77" s="56"/>
      <c r="L77"/>
    </row>
    <row r="78" spans="1:12" ht="18.75" x14ac:dyDescent="0.25">
      <c r="A78" s="7"/>
      <c r="B78" s="14" t="s">
        <v>78</v>
      </c>
      <c r="C78" s="55" t="s">
        <v>76</v>
      </c>
      <c r="D78" s="7"/>
      <c r="E78" s="5"/>
      <c r="F78" s="12" t="s">
        <v>77</v>
      </c>
      <c r="G78" s="73">
        <v>46</v>
      </c>
      <c r="H78" s="91"/>
      <c r="I78" s="103"/>
      <c r="J78" s="8"/>
      <c r="K78" s="20"/>
      <c r="L78"/>
    </row>
    <row r="79" spans="1:12" ht="18.75" x14ac:dyDescent="0.2">
      <c r="A79" s="7"/>
      <c r="B79" s="17" t="s">
        <v>79</v>
      </c>
      <c r="C79" s="9" t="s">
        <v>76</v>
      </c>
      <c r="D79" s="7"/>
      <c r="E79" s="5"/>
      <c r="F79" s="6" t="s">
        <v>77</v>
      </c>
      <c r="G79" s="74">
        <v>65</v>
      </c>
      <c r="H79" s="91"/>
      <c r="I79" s="103"/>
      <c r="J79" s="8"/>
      <c r="K79" s="20"/>
      <c r="L79"/>
    </row>
    <row r="80" spans="1:12" ht="18.75" x14ac:dyDescent="0.25">
      <c r="A80" s="7"/>
      <c r="B80" s="14" t="s">
        <v>80</v>
      </c>
      <c r="C80" s="55" t="s">
        <v>76</v>
      </c>
      <c r="D80" s="7"/>
      <c r="E80" s="5"/>
      <c r="F80" s="12" t="s">
        <v>77</v>
      </c>
      <c r="G80" s="73">
        <v>104</v>
      </c>
      <c r="H80" s="91"/>
      <c r="I80" s="103"/>
      <c r="J80" s="8"/>
      <c r="K80" s="20"/>
      <c r="L80"/>
    </row>
    <row r="81" spans="1:14" ht="18.75" x14ac:dyDescent="0.25">
      <c r="A81" s="7"/>
      <c r="B81" s="14" t="s">
        <v>81</v>
      </c>
      <c r="C81" s="55" t="s">
        <v>76</v>
      </c>
      <c r="D81" s="7"/>
      <c r="E81" s="5"/>
      <c r="F81" s="12" t="s">
        <v>77</v>
      </c>
      <c r="G81" s="73">
        <v>13</v>
      </c>
      <c r="H81" s="91"/>
      <c r="I81" s="103"/>
      <c r="J81" s="8"/>
      <c r="K81" s="20"/>
      <c r="L81"/>
    </row>
    <row r="82" spans="1:14" ht="18.75" x14ac:dyDescent="0.25">
      <c r="A82" s="7"/>
      <c r="B82" s="10" t="s">
        <v>82</v>
      </c>
      <c r="C82" s="20"/>
      <c r="D82" s="7"/>
      <c r="E82" s="5"/>
      <c r="F82" s="8"/>
      <c r="G82" s="74"/>
      <c r="H82" s="91"/>
      <c r="I82" s="65"/>
      <c r="J82" s="8"/>
      <c r="K82" s="20"/>
      <c r="L82"/>
    </row>
    <row r="83" spans="1:14" ht="18.75" x14ac:dyDescent="0.25">
      <c r="A83" s="7"/>
      <c r="B83" s="14" t="s">
        <v>83</v>
      </c>
      <c r="C83" s="55" t="s">
        <v>100</v>
      </c>
      <c r="D83" s="7"/>
      <c r="E83" s="5"/>
      <c r="F83" s="12" t="s">
        <v>77</v>
      </c>
      <c r="G83" s="73">
        <v>26</v>
      </c>
      <c r="H83" s="91"/>
      <c r="I83" s="103"/>
      <c r="J83" s="8"/>
      <c r="K83" s="20"/>
      <c r="L83"/>
    </row>
    <row r="84" spans="1:14" ht="18.75" x14ac:dyDescent="0.25">
      <c r="A84" s="7"/>
      <c r="B84" s="14" t="s">
        <v>84</v>
      </c>
      <c r="C84" s="55" t="s">
        <v>100</v>
      </c>
      <c r="D84" s="7"/>
      <c r="E84" s="5"/>
      <c r="F84" s="12" t="s">
        <v>77</v>
      </c>
      <c r="G84" s="73">
        <v>126</v>
      </c>
      <c r="H84" s="91"/>
      <c r="I84" s="103"/>
      <c r="J84" s="8"/>
      <c r="K84" s="20"/>
      <c r="L84"/>
    </row>
    <row r="85" spans="1:14" ht="18.75" x14ac:dyDescent="0.25">
      <c r="A85" s="7"/>
      <c r="B85" s="14" t="s">
        <v>85</v>
      </c>
      <c r="C85" s="55" t="s">
        <v>100</v>
      </c>
      <c r="D85" s="7"/>
      <c r="E85" s="5"/>
      <c r="F85" s="12" t="s">
        <v>77</v>
      </c>
      <c r="G85" s="73">
        <v>15</v>
      </c>
      <c r="H85" s="91"/>
      <c r="I85" s="103"/>
      <c r="J85" s="8"/>
      <c r="K85" s="20"/>
      <c r="L85"/>
    </row>
    <row r="86" spans="1:14" ht="37.5" x14ac:dyDescent="0.25">
      <c r="A86" s="98" t="s">
        <v>456</v>
      </c>
      <c r="B86" s="16" t="s">
        <v>86</v>
      </c>
      <c r="C86" s="20"/>
      <c r="D86" s="7"/>
      <c r="E86" s="5"/>
      <c r="F86" s="8"/>
      <c r="G86" s="74"/>
      <c r="H86" s="91"/>
      <c r="I86" s="65"/>
      <c r="J86" s="8"/>
      <c r="K86" s="20"/>
      <c r="L86"/>
    </row>
    <row r="87" spans="1:14" ht="30.75" x14ac:dyDescent="0.25">
      <c r="A87" s="98" t="s">
        <v>456</v>
      </c>
      <c r="B87" s="14" t="s">
        <v>87</v>
      </c>
      <c r="C87" s="20"/>
      <c r="D87" s="7"/>
      <c r="E87" s="5"/>
      <c r="F87" s="12" t="s">
        <v>77</v>
      </c>
      <c r="G87" s="73">
        <v>94</v>
      </c>
      <c r="H87" s="91"/>
      <c r="I87" s="103"/>
      <c r="J87" s="8"/>
      <c r="K87" s="20"/>
      <c r="L87"/>
      <c r="M87" s="124" t="s">
        <v>474</v>
      </c>
      <c r="N87" s="119" t="s">
        <v>478</v>
      </c>
    </row>
    <row r="88" spans="1:14" ht="30.75" x14ac:dyDescent="0.25">
      <c r="A88" s="98" t="s">
        <v>456</v>
      </c>
      <c r="B88" s="14" t="s">
        <v>88</v>
      </c>
      <c r="C88" s="20"/>
      <c r="D88" s="7"/>
      <c r="E88" s="5"/>
      <c r="F88" s="12" t="s">
        <v>77</v>
      </c>
      <c r="G88" s="73">
        <v>46</v>
      </c>
      <c r="H88" s="91"/>
      <c r="I88" s="103"/>
      <c r="J88" s="8"/>
      <c r="K88" s="20"/>
      <c r="L88"/>
      <c r="M88" s="124" t="s">
        <v>476</v>
      </c>
      <c r="N88" s="119" t="s">
        <v>478</v>
      </c>
    </row>
    <row r="89" spans="1:14" ht="30.75" x14ac:dyDescent="0.25">
      <c r="A89" s="98" t="s">
        <v>456</v>
      </c>
      <c r="B89" s="14" t="s">
        <v>89</v>
      </c>
      <c r="C89" s="20"/>
      <c r="D89" s="7"/>
      <c r="E89" s="5"/>
      <c r="F89" s="12" t="s">
        <v>77</v>
      </c>
      <c r="G89" s="73">
        <v>65</v>
      </c>
      <c r="H89" s="91"/>
      <c r="I89" s="103"/>
      <c r="J89" s="8"/>
      <c r="K89" s="20"/>
      <c r="L89"/>
      <c r="M89" s="124" t="s">
        <v>477</v>
      </c>
      <c r="N89" s="119" t="s">
        <v>478</v>
      </c>
    </row>
    <row r="90" spans="1:14" ht="30.75" x14ac:dyDescent="0.25">
      <c r="A90" s="98" t="s">
        <v>456</v>
      </c>
      <c r="B90" s="14" t="s">
        <v>90</v>
      </c>
      <c r="C90" s="20"/>
      <c r="D90" s="7"/>
      <c r="E90" s="5"/>
      <c r="F90" s="12" t="s">
        <v>77</v>
      </c>
      <c r="G90" s="73">
        <v>104</v>
      </c>
      <c r="H90" s="91"/>
      <c r="I90" s="103"/>
      <c r="J90" s="8"/>
      <c r="K90" s="20"/>
      <c r="L90"/>
      <c r="M90" s="124" t="s">
        <v>479</v>
      </c>
      <c r="N90" s="119" t="s">
        <v>478</v>
      </c>
    </row>
    <row r="91" spans="1:14" ht="30" x14ac:dyDescent="0.2">
      <c r="A91" s="98" t="s">
        <v>456</v>
      </c>
      <c r="B91" s="17" t="s">
        <v>91</v>
      </c>
      <c r="C91" s="20"/>
      <c r="D91" s="7"/>
      <c r="E91" s="5"/>
      <c r="F91" s="6" t="s">
        <v>77</v>
      </c>
      <c r="G91" s="74">
        <v>13</v>
      </c>
      <c r="H91" s="91"/>
      <c r="I91" s="103"/>
      <c r="J91" s="8"/>
      <c r="K91" s="20"/>
      <c r="L91"/>
      <c r="M91" s="124" t="s">
        <v>479</v>
      </c>
      <c r="N91" s="119" t="s">
        <v>478</v>
      </c>
    </row>
    <row r="92" spans="1:14" ht="30.75" x14ac:dyDescent="0.25">
      <c r="A92" s="98" t="s">
        <v>456</v>
      </c>
      <c r="B92" s="14" t="s">
        <v>92</v>
      </c>
      <c r="C92" s="20"/>
      <c r="D92" s="7"/>
      <c r="E92" s="5"/>
      <c r="F92" s="12" t="s">
        <v>77</v>
      </c>
      <c r="G92" s="73">
        <v>26</v>
      </c>
      <c r="H92" s="91"/>
      <c r="I92" s="103"/>
      <c r="J92" s="8"/>
      <c r="K92" s="20"/>
      <c r="L92"/>
      <c r="M92" s="124" t="s">
        <v>479</v>
      </c>
      <c r="N92" s="119" t="s">
        <v>478</v>
      </c>
    </row>
    <row r="93" spans="1:14" ht="30.75" x14ac:dyDescent="0.25">
      <c r="A93" s="98" t="s">
        <v>456</v>
      </c>
      <c r="B93" s="14" t="s">
        <v>93</v>
      </c>
      <c r="C93" s="20"/>
      <c r="D93" s="7"/>
      <c r="E93" s="5"/>
      <c r="F93" s="12" t="s">
        <v>77</v>
      </c>
      <c r="G93" s="73">
        <v>126</v>
      </c>
      <c r="H93" s="91"/>
      <c r="I93" s="103"/>
      <c r="J93" s="8"/>
      <c r="K93" s="20"/>
      <c r="L93"/>
      <c r="M93" s="124" t="s">
        <v>480</v>
      </c>
      <c r="N93" s="119" t="s">
        <v>478</v>
      </c>
    </row>
    <row r="94" spans="1:14" ht="30.75" x14ac:dyDescent="0.25">
      <c r="A94" s="98" t="s">
        <v>456</v>
      </c>
      <c r="B94" s="14" t="s">
        <v>94</v>
      </c>
      <c r="C94" s="20"/>
      <c r="D94" s="7"/>
      <c r="E94" s="5"/>
      <c r="F94" s="12" t="s">
        <v>77</v>
      </c>
      <c r="G94" s="73">
        <v>15</v>
      </c>
      <c r="H94" s="91"/>
      <c r="I94" s="103"/>
      <c r="J94" s="8"/>
      <c r="K94" s="20"/>
      <c r="L94"/>
      <c r="M94" s="124" t="s">
        <v>481</v>
      </c>
      <c r="N94" s="119" t="s">
        <v>478</v>
      </c>
    </row>
    <row r="95" spans="1:14" ht="18.75" x14ac:dyDescent="0.25">
      <c r="A95" s="7"/>
      <c r="B95" s="10" t="s">
        <v>95</v>
      </c>
      <c r="C95" s="20"/>
      <c r="D95" s="7"/>
      <c r="E95" s="5"/>
      <c r="F95" s="8"/>
      <c r="G95" s="74"/>
      <c r="H95" s="91"/>
      <c r="I95" s="65"/>
      <c r="J95" s="8"/>
      <c r="K95" s="20"/>
      <c r="L95"/>
    </row>
    <row r="96" spans="1:14" ht="18.75" x14ac:dyDescent="0.25">
      <c r="A96" s="7"/>
      <c r="B96" s="10" t="s">
        <v>96</v>
      </c>
      <c r="C96" s="55" t="s">
        <v>101</v>
      </c>
      <c r="D96" s="7"/>
      <c r="E96" s="5"/>
      <c r="F96" s="12" t="s">
        <v>103</v>
      </c>
      <c r="G96" s="73">
        <v>16.82</v>
      </c>
      <c r="H96" s="91"/>
      <c r="I96" s="103"/>
      <c r="J96" s="8"/>
      <c r="K96" s="20"/>
      <c r="L96"/>
    </row>
    <row r="97" spans="1:15" ht="18.75" x14ac:dyDescent="0.25">
      <c r="A97" s="7"/>
      <c r="B97" s="10" t="s">
        <v>97</v>
      </c>
      <c r="C97" s="55" t="s">
        <v>102</v>
      </c>
      <c r="D97" s="7"/>
      <c r="E97" s="5"/>
      <c r="F97" s="12" t="s">
        <v>103</v>
      </c>
      <c r="G97" s="73">
        <v>33.64</v>
      </c>
      <c r="H97" s="91"/>
      <c r="I97" s="103"/>
      <c r="J97" s="8"/>
      <c r="K97" s="20"/>
      <c r="L97"/>
    </row>
    <row r="98" spans="1:15" ht="18.75" x14ac:dyDescent="0.25">
      <c r="A98" s="7"/>
      <c r="B98" s="10" t="s">
        <v>98</v>
      </c>
      <c r="C98" s="20"/>
      <c r="D98" s="7"/>
      <c r="E98" s="5"/>
      <c r="F98" s="8"/>
      <c r="G98" s="74"/>
      <c r="H98" s="91"/>
      <c r="I98" s="65"/>
      <c r="J98" s="8"/>
      <c r="K98" s="20"/>
      <c r="L98"/>
    </row>
    <row r="99" spans="1:15" ht="18.75" x14ac:dyDescent="0.2">
      <c r="A99" s="7"/>
      <c r="B99" s="17" t="s">
        <v>79</v>
      </c>
      <c r="C99" s="9" t="s">
        <v>76</v>
      </c>
      <c r="D99" s="7"/>
      <c r="E99" s="5"/>
      <c r="F99" s="6" t="s">
        <v>77</v>
      </c>
      <c r="G99" s="74">
        <v>5</v>
      </c>
      <c r="H99" s="91"/>
      <c r="I99" s="103"/>
      <c r="J99" s="8"/>
      <c r="K99" s="20"/>
      <c r="L99"/>
    </row>
    <row r="100" spans="1:15" ht="18.75" x14ac:dyDescent="0.25">
      <c r="A100" s="7"/>
      <c r="B100" s="14" t="s">
        <v>80</v>
      </c>
      <c r="C100" s="55" t="s">
        <v>76</v>
      </c>
      <c r="D100" s="7"/>
      <c r="E100" s="5"/>
      <c r="F100" s="12" t="s">
        <v>77</v>
      </c>
      <c r="G100" s="73">
        <v>3</v>
      </c>
      <c r="H100" s="91"/>
      <c r="I100" s="103"/>
      <c r="J100" s="8"/>
      <c r="K100" s="20"/>
      <c r="L100"/>
    </row>
    <row r="101" spans="1:15" ht="18.75" x14ac:dyDescent="0.25">
      <c r="A101" s="7"/>
      <c r="B101" s="14" t="s">
        <v>81</v>
      </c>
      <c r="C101" s="55" t="s">
        <v>76</v>
      </c>
      <c r="D101" s="7"/>
      <c r="E101" s="5"/>
      <c r="F101" s="12" t="s">
        <v>77</v>
      </c>
      <c r="G101" s="73">
        <v>4</v>
      </c>
      <c r="H101" s="91"/>
      <c r="I101" s="103"/>
      <c r="J101" s="8"/>
      <c r="K101" s="20"/>
      <c r="L101"/>
    </row>
    <row r="102" spans="1:15" ht="18.75" x14ac:dyDescent="0.25">
      <c r="A102" s="7"/>
      <c r="B102" s="10" t="s">
        <v>99</v>
      </c>
      <c r="C102" s="20"/>
      <c r="D102" s="7"/>
      <c r="E102" s="5"/>
      <c r="F102" s="8"/>
      <c r="G102" s="74"/>
      <c r="H102" s="91"/>
      <c r="I102" s="65"/>
      <c r="J102" s="8"/>
      <c r="K102" s="20"/>
      <c r="L102"/>
    </row>
    <row r="103" spans="1:15" ht="18.75" x14ac:dyDescent="0.25">
      <c r="A103" s="7"/>
      <c r="B103" s="14" t="s">
        <v>83</v>
      </c>
      <c r="C103" s="55" t="s">
        <v>100</v>
      </c>
      <c r="D103" s="7"/>
      <c r="E103" s="5"/>
      <c r="F103" s="12" t="s">
        <v>77</v>
      </c>
      <c r="G103" s="73">
        <v>6</v>
      </c>
      <c r="H103" s="91"/>
      <c r="I103" s="103"/>
      <c r="J103" s="8"/>
      <c r="K103" s="20"/>
      <c r="L103"/>
    </row>
    <row r="104" spans="1:15" ht="18.75" x14ac:dyDescent="0.2">
      <c r="A104" s="7"/>
      <c r="B104" s="17" t="s">
        <v>84</v>
      </c>
      <c r="C104" s="9" t="s">
        <v>100</v>
      </c>
      <c r="D104" s="7"/>
      <c r="E104" s="5"/>
      <c r="F104" s="6" t="s">
        <v>77</v>
      </c>
      <c r="G104" s="74">
        <v>2</v>
      </c>
      <c r="H104" s="91"/>
      <c r="I104" s="103"/>
      <c r="J104" s="8"/>
      <c r="K104" s="20"/>
      <c r="L104"/>
    </row>
    <row r="105" spans="1:15" x14ac:dyDescent="0.25">
      <c r="A105" s="11"/>
      <c r="B105" s="11"/>
      <c r="C105" s="56"/>
      <c r="D105" s="11"/>
      <c r="E105" s="11"/>
      <c r="F105" s="11"/>
      <c r="G105" s="73"/>
      <c r="H105" s="91"/>
      <c r="I105" s="64"/>
      <c r="J105" s="11"/>
      <c r="K105" s="56"/>
      <c r="L105"/>
    </row>
    <row r="106" spans="1:15" ht="18.75" x14ac:dyDescent="0.25">
      <c r="A106" s="7"/>
      <c r="B106" s="19" t="s">
        <v>85</v>
      </c>
      <c r="C106" s="55" t="s">
        <v>100</v>
      </c>
      <c r="D106" s="7"/>
      <c r="E106" s="5"/>
      <c r="F106" s="12" t="s">
        <v>77</v>
      </c>
      <c r="G106" s="73">
        <v>7</v>
      </c>
      <c r="H106" s="91"/>
      <c r="I106" s="103"/>
      <c r="J106" s="8"/>
      <c r="K106" s="20"/>
      <c r="L106"/>
    </row>
    <row r="107" spans="1:15" ht="18.75" x14ac:dyDescent="0.2">
      <c r="A107" s="7"/>
      <c r="B107" s="18" t="s">
        <v>104</v>
      </c>
      <c r="C107" s="9" t="s">
        <v>100</v>
      </c>
      <c r="D107" s="7"/>
      <c r="E107" s="5"/>
      <c r="F107" s="6" t="s">
        <v>77</v>
      </c>
      <c r="G107" s="74">
        <v>1</v>
      </c>
      <c r="H107" s="91"/>
      <c r="I107" s="103"/>
      <c r="J107" s="8"/>
      <c r="K107" s="20"/>
      <c r="L107"/>
    </row>
    <row r="108" spans="1:15" ht="18.75" x14ac:dyDescent="0.25">
      <c r="A108" s="48"/>
      <c r="B108" s="47" t="s">
        <v>105</v>
      </c>
      <c r="C108" s="58"/>
      <c r="D108" s="48"/>
      <c r="E108" s="46"/>
      <c r="F108" s="49" t="s">
        <v>103</v>
      </c>
      <c r="G108" s="77">
        <v>25</v>
      </c>
      <c r="H108" s="94"/>
      <c r="I108" s="105"/>
      <c r="J108" s="50"/>
      <c r="K108" s="58"/>
      <c r="L108"/>
    </row>
    <row r="109" spans="1:15" ht="18.75" x14ac:dyDescent="0.25">
      <c r="A109" s="7"/>
      <c r="B109" s="10" t="s">
        <v>106</v>
      </c>
      <c r="C109" s="20"/>
      <c r="D109" s="7"/>
      <c r="E109" s="6" t="s">
        <v>130</v>
      </c>
      <c r="F109" s="8"/>
      <c r="G109" s="74"/>
      <c r="H109" s="91"/>
      <c r="I109" s="65"/>
      <c r="J109" s="8"/>
      <c r="K109" s="20"/>
      <c r="L109"/>
    </row>
    <row r="110" spans="1:15" ht="18.75" x14ac:dyDescent="0.2">
      <c r="A110" s="7"/>
      <c r="B110" s="18" t="s">
        <v>107</v>
      </c>
      <c r="C110" s="9" t="s">
        <v>123</v>
      </c>
      <c r="D110" s="7"/>
      <c r="E110" s="6" t="s">
        <v>130</v>
      </c>
      <c r="F110" s="6" t="s">
        <v>77</v>
      </c>
      <c r="G110" s="74">
        <v>1938</v>
      </c>
      <c r="H110" s="91"/>
      <c r="I110" s="103"/>
      <c r="J110" s="8"/>
      <c r="K110" s="121" t="s">
        <v>490</v>
      </c>
      <c r="L110"/>
      <c r="M110" s="124">
        <v>44.5</v>
      </c>
      <c r="N110" t="s">
        <v>486</v>
      </c>
      <c r="O110" s="82" t="s">
        <v>489</v>
      </c>
    </row>
    <row r="111" spans="1:15" ht="18.75" x14ac:dyDescent="0.2">
      <c r="A111" s="7"/>
      <c r="B111" s="18" t="s">
        <v>78</v>
      </c>
      <c r="C111" s="9" t="s">
        <v>123</v>
      </c>
      <c r="D111" s="7"/>
      <c r="E111" s="6" t="s">
        <v>130</v>
      </c>
      <c r="F111" s="6" t="s">
        <v>77</v>
      </c>
      <c r="G111" s="74">
        <v>1882</v>
      </c>
      <c r="H111" s="91"/>
      <c r="I111" s="103"/>
      <c r="J111" s="8"/>
      <c r="K111" s="121" t="s">
        <v>491</v>
      </c>
      <c r="L111"/>
      <c r="M111" s="124">
        <v>67.099999999999994</v>
      </c>
      <c r="N111" t="s">
        <v>487</v>
      </c>
      <c r="O111" s="82" t="s">
        <v>489</v>
      </c>
    </row>
    <row r="112" spans="1:15" ht="18.75" x14ac:dyDescent="0.2">
      <c r="A112" s="7"/>
      <c r="B112" s="18" t="s">
        <v>108</v>
      </c>
      <c r="C112" s="9" t="s">
        <v>123</v>
      </c>
      <c r="D112" s="7"/>
      <c r="E112" s="6" t="s">
        <v>130</v>
      </c>
      <c r="F112" s="6" t="s">
        <v>77</v>
      </c>
      <c r="G112" s="74">
        <v>939</v>
      </c>
      <c r="H112" s="91"/>
      <c r="I112" s="103"/>
      <c r="J112" s="8"/>
      <c r="K112" s="121" t="s">
        <v>492</v>
      </c>
      <c r="L112"/>
      <c r="M112" s="124">
        <v>102.9</v>
      </c>
      <c r="N112" t="s">
        <v>488</v>
      </c>
      <c r="O112" s="82" t="s">
        <v>489</v>
      </c>
    </row>
    <row r="113" spans="1:14" ht="37.5" x14ac:dyDescent="0.2">
      <c r="A113" s="98" t="s">
        <v>456</v>
      </c>
      <c r="B113" s="61" t="s">
        <v>442</v>
      </c>
      <c r="C113" s="20"/>
      <c r="D113" s="7"/>
      <c r="E113" s="65" t="s">
        <v>443</v>
      </c>
      <c r="F113" s="8"/>
      <c r="G113" s="74"/>
      <c r="H113" s="91"/>
      <c r="I113" s="65"/>
      <c r="J113" s="8"/>
      <c r="K113" s="20"/>
      <c r="L113"/>
      <c r="N113" s="119"/>
    </row>
    <row r="114" spans="1:14" ht="30" x14ac:dyDescent="0.2">
      <c r="A114" s="98" t="s">
        <v>456</v>
      </c>
      <c r="B114" s="18" t="s">
        <v>109</v>
      </c>
      <c r="C114" s="113" t="s">
        <v>466</v>
      </c>
      <c r="D114" s="7"/>
      <c r="E114" s="65" t="s">
        <v>443</v>
      </c>
      <c r="F114" s="6" t="s">
        <v>77</v>
      </c>
      <c r="G114" s="74">
        <v>1938</v>
      </c>
      <c r="H114" s="91"/>
      <c r="I114" s="103"/>
      <c r="J114" s="8"/>
      <c r="K114" s="20"/>
      <c r="L114"/>
      <c r="M114" s="124">
        <v>12.88</v>
      </c>
      <c r="N114" s="119" t="s">
        <v>482</v>
      </c>
    </row>
    <row r="115" spans="1:14" ht="30" x14ac:dyDescent="0.2">
      <c r="A115" s="98" t="s">
        <v>456</v>
      </c>
      <c r="B115" s="18" t="s">
        <v>110</v>
      </c>
      <c r="C115" s="9" t="s">
        <v>124</v>
      </c>
      <c r="D115" s="7"/>
      <c r="E115" s="65" t="s">
        <v>443</v>
      </c>
      <c r="F115" s="6" t="s">
        <v>77</v>
      </c>
      <c r="G115" s="74">
        <v>1882</v>
      </c>
      <c r="H115" s="91"/>
      <c r="I115" s="103"/>
      <c r="J115" s="8"/>
      <c r="K115" s="20"/>
      <c r="L115"/>
      <c r="M115" s="124">
        <v>12.88</v>
      </c>
      <c r="N115" s="119" t="s">
        <v>482</v>
      </c>
    </row>
    <row r="116" spans="1:14" ht="30" x14ac:dyDescent="0.2">
      <c r="A116" s="98" t="s">
        <v>456</v>
      </c>
      <c r="B116" s="18" t="s">
        <v>111</v>
      </c>
      <c r="C116" s="9" t="s">
        <v>124</v>
      </c>
      <c r="D116" s="7"/>
      <c r="E116" s="65" t="s">
        <v>443</v>
      </c>
      <c r="F116" s="6" t="s">
        <v>77</v>
      </c>
      <c r="G116" s="74">
        <v>939</v>
      </c>
      <c r="H116" s="91"/>
      <c r="I116" s="103"/>
      <c r="J116" s="8"/>
      <c r="K116" s="20"/>
      <c r="L116"/>
      <c r="M116" s="124">
        <v>17.5</v>
      </c>
      <c r="N116" s="119" t="s">
        <v>482</v>
      </c>
    </row>
    <row r="117" spans="1:14" ht="18.75" x14ac:dyDescent="0.25">
      <c r="A117" s="7"/>
      <c r="B117" s="10" t="s">
        <v>112</v>
      </c>
      <c r="C117" s="20"/>
      <c r="D117" s="7"/>
      <c r="E117" s="5"/>
      <c r="F117" s="13" t="s">
        <v>22</v>
      </c>
      <c r="G117" s="73">
        <v>4</v>
      </c>
      <c r="H117" s="91"/>
      <c r="I117" s="103"/>
      <c r="J117" s="8"/>
      <c r="K117" s="20" t="s">
        <v>457</v>
      </c>
      <c r="L117"/>
    </row>
    <row r="118" spans="1:14" ht="19.5" x14ac:dyDescent="0.2">
      <c r="A118" s="7"/>
      <c r="B118" s="6" t="s">
        <v>113</v>
      </c>
      <c r="C118" s="20"/>
      <c r="D118" s="7"/>
      <c r="E118" s="5"/>
      <c r="F118" s="8"/>
      <c r="G118" s="74"/>
      <c r="H118" s="91"/>
      <c r="I118" s="65"/>
      <c r="J118" s="8"/>
      <c r="K118" s="20"/>
      <c r="L118"/>
    </row>
    <row r="119" spans="1:14" ht="18.75" x14ac:dyDescent="0.25">
      <c r="A119" s="7"/>
      <c r="B119" s="28" t="s">
        <v>114</v>
      </c>
      <c r="C119" s="54" t="s">
        <v>125</v>
      </c>
      <c r="D119" s="27"/>
      <c r="E119" s="31" t="s">
        <v>131</v>
      </c>
      <c r="F119" s="31" t="s">
        <v>133</v>
      </c>
      <c r="G119" s="72">
        <v>1</v>
      </c>
      <c r="H119" s="92"/>
      <c r="I119" s="101"/>
      <c r="J119" s="29"/>
      <c r="K119" s="44"/>
      <c r="L119"/>
    </row>
    <row r="120" spans="1:14" ht="18.75" x14ac:dyDescent="0.2">
      <c r="A120" s="7"/>
      <c r="B120" s="29" t="s">
        <v>115</v>
      </c>
      <c r="C120" s="23" t="s">
        <v>126</v>
      </c>
      <c r="D120" s="27"/>
      <c r="E120" s="37" t="s">
        <v>131</v>
      </c>
      <c r="F120" s="37" t="s">
        <v>133</v>
      </c>
      <c r="G120" s="71">
        <v>1</v>
      </c>
      <c r="H120" s="92"/>
      <c r="I120" s="102"/>
      <c r="J120" s="29"/>
      <c r="K120" s="44"/>
      <c r="L120"/>
    </row>
    <row r="121" spans="1:14" ht="18.75" x14ac:dyDescent="0.2">
      <c r="A121" s="7"/>
      <c r="B121" s="29" t="s">
        <v>116</v>
      </c>
      <c r="C121" s="23" t="s">
        <v>127</v>
      </c>
      <c r="D121" s="27"/>
      <c r="E121" s="37" t="s">
        <v>131</v>
      </c>
      <c r="F121" s="37" t="s">
        <v>133</v>
      </c>
      <c r="G121" s="71">
        <v>1</v>
      </c>
      <c r="H121" s="92"/>
      <c r="I121" s="102"/>
      <c r="J121" s="29"/>
      <c r="K121" s="44"/>
      <c r="L121"/>
    </row>
    <row r="122" spans="1:14" ht="18.75" x14ac:dyDescent="0.25">
      <c r="A122" s="7"/>
      <c r="B122" s="28" t="s">
        <v>117</v>
      </c>
      <c r="C122" s="54" t="s">
        <v>128</v>
      </c>
      <c r="D122" s="27"/>
      <c r="E122" s="31" t="s">
        <v>131</v>
      </c>
      <c r="F122" s="31" t="s">
        <v>133</v>
      </c>
      <c r="G122" s="72">
        <v>1</v>
      </c>
      <c r="H122" s="92"/>
      <c r="I122" s="101"/>
      <c r="J122" s="29"/>
      <c r="K122" s="44"/>
      <c r="L122"/>
    </row>
    <row r="123" spans="1:14" ht="18.75" x14ac:dyDescent="0.25">
      <c r="A123" s="7"/>
      <c r="B123" s="10" t="s">
        <v>118</v>
      </c>
      <c r="C123" s="20"/>
      <c r="D123" s="7"/>
      <c r="E123" s="5"/>
      <c r="F123" s="8"/>
      <c r="G123" s="74"/>
      <c r="H123" s="91"/>
      <c r="I123" s="65"/>
      <c r="J123" s="8"/>
      <c r="K123" s="20"/>
      <c r="L123"/>
    </row>
    <row r="124" spans="1:14" ht="18.75" x14ac:dyDescent="0.25">
      <c r="A124" s="7"/>
      <c r="B124" s="19" t="s">
        <v>79</v>
      </c>
      <c r="C124" s="55" t="s">
        <v>76</v>
      </c>
      <c r="D124" s="7"/>
      <c r="E124" s="5"/>
      <c r="F124" s="12" t="s">
        <v>77</v>
      </c>
      <c r="G124" s="73">
        <v>18</v>
      </c>
      <c r="H124" s="91"/>
      <c r="I124" s="104"/>
      <c r="J124" s="8"/>
      <c r="K124" s="20"/>
      <c r="L124"/>
    </row>
    <row r="125" spans="1:14" ht="18.75" x14ac:dyDescent="0.25">
      <c r="A125" s="7"/>
      <c r="B125" s="19" t="s">
        <v>81</v>
      </c>
      <c r="C125" s="55" t="s">
        <v>76</v>
      </c>
      <c r="D125" s="7"/>
      <c r="E125" s="5"/>
      <c r="F125" s="12" t="s">
        <v>77</v>
      </c>
      <c r="G125" s="73">
        <v>10</v>
      </c>
      <c r="H125" s="91"/>
      <c r="I125" s="104"/>
      <c r="J125" s="8"/>
      <c r="K125" s="20"/>
      <c r="L125"/>
    </row>
    <row r="126" spans="1:14" ht="18.75" x14ac:dyDescent="0.25">
      <c r="A126" s="7"/>
      <c r="B126" s="10" t="s">
        <v>82</v>
      </c>
      <c r="C126" s="20"/>
      <c r="D126" s="7"/>
      <c r="E126" s="5"/>
      <c r="F126" s="8"/>
      <c r="G126" s="74"/>
      <c r="H126" s="91"/>
      <c r="I126" s="65"/>
      <c r="J126" s="8"/>
      <c r="K126" s="20"/>
      <c r="L126"/>
    </row>
    <row r="127" spans="1:14" ht="18.75" x14ac:dyDescent="0.25">
      <c r="A127" s="7"/>
      <c r="B127" s="18" t="s">
        <v>84</v>
      </c>
      <c r="C127" s="9" t="s">
        <v>100</v>
      </c>
      <c r="D127" s="7"/>
      <c r="E127" s="5"/>
      <c r="F127" s="6" t="s">
        <v>77</v>
      </c>
      <c r="G127" s="74">
        <v>8</v>
      </c>
      <c r="H127" s="91"/>
      <c r="I127" s="104"/>
      <c r="J127" s="8"/>
      <c r="K127" s="20"/>
      <c r="L127"/>
    </row>
    <row r="128" spans="1:14" ht="19.5" x14ac:dyDescent="0.3">
      <c r="A128" s="40"/>
      <c r="B128" s="41" t="s">
        <v>119</v>
      </c>
      <c r="C128" s="57"/>
      <c r="D128" s="40"/>
      <c r="E128" s="42"/>
      <c r="F128" s="43"/>
      <c r="G128" s="75"/>
      <c r="H128" s="93"/>
      <c r="I128" s="66"/>
      <c r="J128" s="43"/>
      <c r="K128" s="57"/>
      <c r="L128"/>
    </row>
    <row r="129" spans="1:16" ht="19.5" x14ac:dyDescent="0.2">
      <c r="A129" s="7"/>
      <c r="B129" s="6" t="s">
        <v>120</v>
      </c>
      <c r="C129" s="20"/>
      <c r="D129" s="7"/>
      <c r="E129" s="5"/>
      <c r="F129" s="8"/>
      <c r="G129" s="74"/>
      <c r="H129" s="91"/>
      <c r="I129" s="65"/>
      <c r="J129" s="8"/>
      <c r="K129" s="20"/>
      <c r="L129"/>
    </row>
    <row r="130" spans="1:16" ht="51.75" x14ac:dyDescent="0.25">
      <c r="A130" s="7"/>
      <c r="B130" s="10" t="s">
        <v>121</v>
      </c>
      <c r="C130" s="55" t="s">
        <v>129</v>
      </c>
      <c r="D130" s="12"/>
      <c r="E130" s="12" t="s">
        <v>132</v>
      </c>
      <c r="F130" s="12" t="s">
        <v>134</v>
      </c>
      <c r="G130" s="73">
        <v>1</v>
      </c>
      <c r="H130" s="91"/>
      <c r="I130" s="104"/>
      <c r="J130" s="8"/>
      <c r="K130" s="20"/>
      <c r="L130"/>
      <c r="M130" s="124">
        <f>161545.86+6123.6</f>
        <v>167669.46</v>
      </c>
      <c r="N130" s="122" t="s">
        <v>498</v>
      </c>
      <c r="O130" s="122" t="s">
        <v>500</v>
      </c>
    </row>
    <row r="131" spans="1:16" ht="39" x14ac:dyDescent="0.25">
      <c r="A131" s="7"/>
      <c r="B131" s="10" t="s">
        <v>122</v>
      </c>
      <c r="C131" s="20"/>
      <c r="D131" s="7"/>
      <c r="E131" s="12" t="s">
        <v>132</v>
      </c>
      <c r="F131" s="13" t="s">
        <v>22</v>
      </c>
      <c r="G131" s="73">
        <v>1</v>
      </c>
      <c r="H131" s="91"/>
      <c r="I131" s="104"/>
      <c r="J131" s="8"/>
      <c r="K131" s="89" t="s">
        <v>462</v>
      </c>
      <c r="L131"/>
      <c r="M131" s="124">
        <v>188536.95</v>
      </c>
      <c r="N131" s="122" t="s">
        <v>499</v>
      </c>
    </row>
    <row r="132" spans="1:16" x14ac:dyDescent="0.25">
      <c r="A132" s="11"/>
      <c r="B132" s="11"/>
      <c r="C132" s="56"/>
      <c r="D132" s="11"/>
      <c r="E132" s="11"/>
      <c r="F132" s="11"/>
      <c r="G132" s="73"/>
      <c r="H132" s="91"/>
      <c r="I132" s="64"/>
      <c r="J132" s="11"/>
      <c r="K132" s="56"/>
      <c r="L132"/>
    </row>
    <row r="133" spans="1:16" ht="51.75" x14ac:dyDescent="0.25">
      <c r="A133" s="5"/>
      <c r="B133" s="16" t="s">
        <v>135</v>
      </c>
      <c r="C133" s="4" t="s">
        <v>153</v>
      </c>
      <c r="D133" s="3"/>
      <c r="E133" s="3" t="s">
        <v>158</v>
      </c>
      <c r="F133" s="15" t="s">
        <v>22</v>
      </c>
      <c r="G133" s="76">
        <v>8</v>
      </c>
      <c r="H133" s="91"/>
      <c r="I133" s="91"/>
      <c r="J133" s="8"/>
      <c r="K133" s="100" t="s">
        <v>458</v>
      </c>
      <c r="L133" s="128" t="s">
        <v>459</v>
      </c>
      <c r="M133" s="124">
        <v>19705</v>
      </c>
      <c r="N133" s="82" t="s">
        <v>460</v>
      </c>
      <c r="O133" s="122" t="s">
        <v>501</v>
      </c>
      <c r="P133">
        <v>27439</v>
      </c>
    </row>
    <row r="134" spans="1:16" ht="56.25" x14ac:dyDescent="0.25">
      <c r="A134" s="5"/>
      <c r="B134" s="10" t="s">
        <v>136</v>
      </c>
      <c r="C134" s="55" t="s">
        <v>154</v>
      </c>
      <c r="D134" s="12"/>
      <c r="E134" s="12" t="s">
        <v>158</v>
      </c>
      <c r="F134" s="14" t="s">
        <v>22</v>
      </c>
      <c r="G134" s="73">
        <v>8</v>
      </c>
      <c r="H134" s="91"/>
      <c r="I134" s="91"/>
      <c r="J134" s="8"/>
      <c r="K134" s="129"/>
      <c r="L134"/>
      <c r="M134" s="124">
        <v>3374</v>
      </c>
      <c r="N134" s="122" t="s">
        <v>502</v>
      </c>
    </row>
    <row r="135" spans="1:16" ht="18.75" x14ac:dyDescent="0.25">
      <c r="A135" s="5"/>
      <c r="B135" s="10" t="s">
        <v>137</v>
      </c>
      <c r="C135" s="55" t="s">
        <v>155</v>
      </c>
      <c r="D135" s="7"/>
      <c r="E135" s="130" t="s">
        <v>159</v>
      </c>
      <c r="F135" s="131" t="s">
        <v>22</v>
      </c>
      <c r="G135" s="132">
        <v>1</v>
      </c>
      <c r="H135" s="107"/>
      <c r="I135" s="107"/>
      <c r="J135" s="8"/>
      <c r="K135" s="129"/>
      <c r="L135"/>
      <c r="M135" s="82" t="s">
        <v>460</v>
      </c>
    </row>
    <row r="136" spans="1:16" ht="37.5" x14ac:dyDescent="0.25">
      <c r="A136" s="5"/>
      <c r="B136" s="16" t="s">
        <v>138</v>
      </c>
      <c r="C136" s="86" t="s">
        <v>469</v>
      </c>
      <c r="D136" s="7"/>
      <c r="E136" s="5"/>
      <c r="F136" s="15" t="s">
        <v>22</v>
      </c>
      <c r="G136" s="76">
        <v>1</v>
      </c>
      <c r="H136" s="91"/>
      <c r="I136" s="91"/>
      <c r="J136" s="8"/>
      <c r="K136" s="20"/>
      <c r="L136" s="82" t="s">
        <v>483</v>
      </c>
    </row>
    <row r="137" spans="1:16" ht="25.5" x14ac:dyDescent="0.25">
      <c r="A137" s="5"/>
      <c r="B137" s="10" t="s">
        <v>139</v>
      </c>
      <c r="C137" s="20"/>
      <c r="D137" s="7"/>
      <c r="E137" s="5"/>
      <c r="F137" s="14" t="s">
        <v>22</v>
      </c>
      <c r="G137" s="73">
        <v>3</v>
      </c>
      <c r="H137" s="91"/>
      <c r="I137" s="91"/>
      <c r="J137" s="8"/>
      <c r="K137" s="89" t="s">
        <v>485</v>
      </c>
      <c r="L137"/>
    </row>
    <row r="138" spans="1:16" ht="18.75" x14ac:dyDescent="0.2">
      <c r="A138" s="5"/>
      <c r="B138" s="8" t="s">
        <v>140</v>
      </c>
      <c r="C138" s="9" t="s">
        <v>156</v>
      </c>
      <c r="D138" s="7"/>
      <c r="E138" s="5"/>
      <c r="F138" s="6" t="s">
        <v>77</v>
      </c>
      <c r="G138" s="74">
        <v>0.4</v>
      </c>
      <c r="H138" s="91"/>
      <c r="I138" s="91"/>
      <c r="J138" s="8"/>
      <c r="K138" s="4">
        <v>1.26</v>
      </c>
      <c r="L138" s="85">
        <f>K138/G138</f>
        <v>3.15</v>
      </c>
      <c r="M138" s="124" t="s">
        <v>464</v>
      </c>
    </row>
    <row r="139" spans="1:16" ht="18.75" x14ac:dyDescent="0.25">
      <c r="A139" s="5"/>
      <c r="B139" s="10" t="s">
        <v>141</v>
      </c>
      <c r="C139" s="55" t="s">
        <v>156</v>
      </c>
      <c r="D139" s="7"/>
      <c r="E139" s="5"/>
      <c r="F139" s="12" t="s">
        <v>77</v>
      </c>
      <c r="G139" s="73">
        <v>19</v>
      </c>
      <c r="H139" s="91"/>
      <c r="I139" s="91"/>
      <c r="J139" s="8"/>
      <c r="K139" s="4">
        <v>60.8</v>
      </c>
      <c r="L139" s="85">
        <f t="shared" ref="L139:L143" si="0">K139/G139</f>
        <v>3.1999999999999997</v>
      </c>
      <c r="M139" s="124" t="s">
        <v>464</v>
      </c>
    </row>
    <row r="140" spans="1:16" ht="18.75" x14ac:dyDescent="0.25">
      <c r="A140" s="5"/>
      <c r="B140" s="10" t="s">
        <v>142</v>
      </c>
      <c r="C140" s="55" t="s">
        <v>156</v>
      </c>
      <c r="D140" s="7"/>
      <c r="E140" s="5"/>
      <c r="F140" s="14" t="s">
        <v>22</v>
      </c>
      <c r="G140" s="73">
        <v>1</v>
      </c>
      <c r="H140" s="91"/>
      <c r="I140" s="91"/>
      <c r="J140" s="8"/>
      <c r="K140" s="4">
        <v>0.55000000000000004</v>
      </c>
      <c r="L140" s="85">
        <f t="shared" si="0"/>
        <v>0.55000000000000004</v>
      </c>
    </row>
    <row r="141" spans="1:16" ht="18.75" x14ac:dyDescent="0.2">
      <c r="A141" s="5"/>
      <c r="B141" s="8" t="s">
        <v>143</v>
      </c>
      <c r="C141" s="9" t="s">
        <v>156</v>
      </c>
      <c r="D141" s="7"/>
      <c r="E141" s="5"/>
      <c r="F141" s="17" t="s">
        <v>22</v>
      </c>
      <c r="G141" s="74">
        <v>1</v>
      </c>
      <c r="H141" s="91"/>
      <c r="I141" s="91"/>
      <c r="J141" s="8"/>
      <c r="K141" s="4">
        <v>1.92</v>
      </c>
      <c r="L141" s="85">
        <f t="shared" si="0"/>
        <v>1.92</v>
      </c>
    </row>
    <row r="142" spans="1:16" ht="18.75" x14ac:dyDescent="0.2">
      <c r="A142" s="5"/>
      <c r="B142" s="8" t="s">
        <v>144</v>
      </c>
      <c r="C142" s="9" t="s">
        <v>156</v>
      </c>
      <c r="D142" s="7"/>
      <c r="E142" s="5"/>
      <c r="F142" s="17" t="s">
        <v>22</v>
      </c>
      <c r="G142" s="74">
        <v>1</v>
      </c>
      <c r="H142" s="91"/>
      <c r="I142" s="91"/>
      <c r="J142" s="8"/>
      <c r="K142" s="4">
        <v>1.53</v>
      </c>
      <c r="L142" s="85">
        <f t="shared" si="0"/>
        <v>1.53</v>
      </c>
    </row>
    <row r="143" spans="1:16" ht="37.5" x14ac:dyDescent="0.25">
      <c r="A143" s="5"/>
      <c r="B143" s="16" t="s">
        <v>145</v>
      </c>
      <c r="C143" s="4" t="s">
        <v>156</v>
      </c>
      <c r="D143" s="7"/>
      <c r="E143" s="5"/>
      <c r="F143" s="15" t="s">
        <v>22</v>
      </c>
      <c r="G143" s="76">
        <v>8</v>
      </c>
      <c r="H143" s="91"/>
      <c r="I143" s="91"/>
      <c r="J143" s="8"/>
      <c r="K143" s="4">
        <v>20.48</v>
      </c>
      <c r="L143" s="85">
        <f t="shared" si="0"/>
        <v>2.56</v>
      </c>
    </row>
    <row r="144" spans="1:16" ht="18.75" x14ac:dyDescent="0.25">
      <c r="A144" s="46"/>
      <c r="B144" s="47" t="s">
        <v>146</v>
      </c>
      <c r="C144" s="58"/>
      <c r="D144" s="48"/>
      <c r="E144" s="46"/>
      <c r="F144" s="49" t="s">
        <v>103</v>
      </c>
      <c r="G144" s="77">
        <v>56.3</v>
      </c>
      <c r="H144" s="94"/>
      <c r="I144" s="105"/>
      <c r="J144" s="50"/>
      <c r="K144" s="58"/>
      <c r="L144"/>
    </row>
    <row r="145" spans="1:16" ht="18.75" x14ac:dyDescent="0.2">
      <c r="A145" s="99"/>
      <c r="B145" s="8" t="s">
        <v>147</v>
      </c>
      <c r="C145" s="9" t="s">
        <v>157</v>
      </c>
      <c r="D145" s="7"/>
      <c r="E145" s="6" t="s">
        <v>160</v>
      </c>
      <c r="F145" s="6" t="s">
        <v>161</v>
      </c>
      <c r="G145" s="74">
        <v>104.37</v>
      </c>
      <c r="H145" s="91"/>
      <c r="I145" s="103"/>
      <c r="J145" s="8"/>
      <c r="K145" s="9" t="s">
        <v>162</v>
      </c>
      <c r="L145"/>
    </row>
    <row r="146" spans="1:16" ht="18.75" x14ac:dyDescent="0.2">
      <c r="A146" s="5"/>
      <c r="B146" s="8" t="s">
        <v>148</v>
      </c>
      <c r="C146" s="20"/>
      <c r="D146" s="7"/>
      <c r="E146" s="5"/>
      <c r="F146" s="6" t="s">
        <v>161</v>
      </c>
      <c r="G146" s="74">
        <v>13.95</v>
      </c>
      <c r="H146" s="91"/>
      <c r="I146" s="103"/>
      <c r="J146" s="8"/>
      <c r="K146" s="20"/>
      <c r="L146"/>
    </row>
    <row r="147" spans="1:16" ht="19.5" x14ac:dyDescent="0.2">
      <c r="A147" s="5"/>
      <c r="B147" s="6" t="s">
        <v>149</v>
      </c>
      <c r="C147" s="20"/>
      <c r="D147" s="7"/>
      <c r="E147" s="5"/>
      <c r="F147" s="8"/>
      <c r="G147" s="74"/>
      <c r="H147" s="91"/>
      <c r="I147" s="65"/>
      <c r="J147" s="8"/>
      <c r="K147" s="20"/>
      <c r="L147"/>
    </row>
    <row r="148" spans="1:16" ht="51.75" x14ac:dyDescent="0.25">
      <c r="A148" s="5"/>
      <c r="B148" s="10" t="s">
        <v>121</v>
      </c>
      <c r="C148" s="55" t="s">
        <v>129</v>
      </c>
      <c r="D148" s="12"/>
      <c r="E148" s="12" t="s">
        <v>132</v>
      </c>
      <c r="F148" s="12" t="s">
        <v>134</v>
      </c>
      <c r="G148" s="73">
        <v>1</v>
      </c>
      <c r="H148" s="91"/>
      <c r="I148" s="103"/>
      <c r="J148" s="8"/>
      <c r="K148" s="20"/>
      <c r="L148"/>
      <c r="M148" s="124">
        <f>161545.86+6123.6</f>
        <v>167669.46</v>
      </c>
      <c r="N148" s="122" t="s">
        <v>498</v>
      </c>
      <c r="O148" s="122" t="s">
        <v>500</v>
      </c>
    </row>
    <row r="149" spans="1:16" ht="39" x14ac:dyDescent="0.25">
      <c r="A149" s="5"/>
      <c r="B149" s="10" t="s">
        <v>122</v>
      </c>
      <c r="C149" s="20"/>
      <c r="D149" s="7"/>
      <c r="E149" s="12" t="s">
        <v>132</v>
      </c>
      <c r="F149" s="14" t="s">
        <v>22</v>
      </c>
      <c r="G149" s="73">
        <v>1</v>
      </c>
      <c r="H149" s="91"/>
      <c r="I149" s="103"/>
      <c r="J149" s="8"/>
      <c r="K149" s="89" t="s">
        <v>462</v>
      </c>
      <c r="L149"/>
      <c r="M149" s="124">
        <v>188536.95</v>
      </c>
      <c r="N149" s="122" t="s">
        <v>499</v>
      </c>
    </row>
    <row r="150" spans="1:16" ht="51.75" x14ac:dyDescent="0.25">
      <c r="A150" s="5"/>
      <c r="B150" s="16" t="s">
        <v>150</v>
      </c>
      <c r="C150" s="4" t="s">
        <v>153</v>
      </c>
      <c r="D150" s="3"/>
      <c r="E150" s="3" t="s">
        <v>158</v>
      </c>
      <c r="F150" s="15" t="s">
        <v>22</v>
      </c>
      <c r="G150" s="76">
        <v>8</v>
      </c>
      <c r="H150" s="91"/>
      <c r="I150" s="91"/>
      <c r="J150" s="8"/>
      <c r="K150" s="100" t="s">
        <v>458</v>
      </c>
      <c r="L150" s="82" t="s">
        <v>459</v>
      </c>
      <c r="M150" s="124">
        <v>19705</v>
      </c>
      <c r="N150" s="82" t="s">
        <v>460</v>
      </c>
      <c r="O150" s="122" t="s">
        <v>501</v>
      </c>
      <c r="P150">
        <v>27439</v>
      </c>
    </row>
    <row r="151" spans="1:16" ht="56.25" x14ac:dyDescent="0.25">
      <c r="A151" s="5"/>
      <c r="B151" s="10" t="s">
        <v>136</v>
      </c>
      <c r="C151" s="55" t="s">
        <v>154</v>
      </c>
      <c r="D151" s="12"/>
      <c r="E151" s="12" t="s">
        <v>158</v>
      </c>
      <c r="F151" s="14" t="s">
        <v>22</v>
      </c>
      <c r="G151" s="73">
        <v>8</v>
      </c>
      <c r="H151" s="91"/>
      <c r="I151" s="91"/>
      <c r="J151" s="8"/>
      <c r="K151" s="100" t="s">
        <v>458</v>
      </c>
      <c r="L151"/>
      <c r="M151" s="124">
        <v>3374</v>
      </c>
      <c r="N151" s="122" t="s">
        <v>502</v>
      </c>
    </row>
    <row r="152" spans="1:16" ht="18.75" x14ac:dyDescent="0.25">
      <c r="A152" s="5"/>
      <c r="B152" s="10" t="s">
        <v>137</v>
      </c>
      <c r="C152" s="55" t="s">
        <v>155</v>
      </c>
      <c r="D152" s="7"/>
      <c r="E152" s="12" t="s">
        <v>159</v>
      </c>
      <c r="F152" s="14" t="s">
        <v>22</v>
      </c>
      <c r="G152" s="73">
        <v>1</v>
      </c>
      <c r="H152" s="91"/>
      <c r="I152" s="91"/>
      <c r="J152" s="8"/>
      <c r="K152" s="20"/>
      <c r="L152"/>
      <c r="M152" s="82" t="s">
        <v>460</v>
      </c>
    </row>
    <row r="153" spans="1:16" ht="37.5" x14ac:dyDescent="0.25">
      <c r="A153" s="5"/>
      <c r="B153" s="16" t="s">
        <v>151</v>
      </c>
      <c r="C153" s="86" t="s">
        <v>469</v>
      </c>
      <c r="D153" s="7"/>
      <c r="E153" s="5"/>
      <c r="F153" s="15" t="s">
        <v>22</v>
      </c>
      <c r="G153" s="76">
        <v>1</v>
      </c>
      <c r="H153" s="91"/>
      <c r="I153" s="91"/>
      <c r="J153" s="8"/>
      <c r="K153" s="20"/>
      <c r="L153" t="s">
        <v>483</v>
      </c>
    </row>
    <row r="154" spans="1:16" ht="25.5" x14ac:dyDescent="0.25">
      <c r="A154" s="5"/>
      <c r="B154" s="10" t="s">
        <v>139</v>
      </c>
      <c r="C154" s="20"/>
      <c r="D154" s="7"/>
      <c r="E154" s="5"/>
      <c r="F154" s="14" t="s">
        <v>22</v>
      </c>
      <c r="G154" s="73">
        <v>3</v>
      </c>
      <c r="H154" s="91"/>
      <c r="I154" s="91"/>
      <c r="J154" s="8"/>
      <c r="K154" s="89" t="s">
        <v>485</v>
      </c>
      <c r="L154"/>
    </row>
    <row r="155" spans="1:16" ht="18.75" x14ac:dyDescent="0.2">
      <c r="A155" s="5"/>
      <c r="B155" s="8" t="s">
        <v>152</v>
      </c>
      <c r="C155" s="9" t="s">
        <v>156</v>
      </c>
      <c r="D155" s="7"/>
      <c r="E155" s="5"/>
      <c r="F155" s="6" t="s">
        <v>77</v>
      </c>
      <c r="G155" s="74">
        <v>0.4</v>
      </c>
      <c r="H155" s="91"/>
      <c r="I155" s="91"/>
      <c r="J155" s="8"/>
      <c r="K155" s="4">
        <v>1.26</v>
      </c>
      <c r="L155" s="85">
        <f>K155/G155</f>
        <v>3.15</v>
      </c>
      <c r="M155" s="124" t="s">
        <v>464</v>
      </c>
    </row>
    <row r="156" spans="1:16" x14ac:dyDescent="0.25">
      <c r="A156" s="11"/>
      <c r="B156" s="11"/>
      <c r="C156" s="56"/>
      <c r="D156" s="11"/>
      <c r="E156" s="11"/>
      <c r="F156" s="11"/>
      <c r="G156" s="73"/>
      <c r="H156" s="91"/>
      <c r="I156" s="64"/>
      <c r="J156" s="11"/>
      <c r="K156" s="56"/>
      <c r="L156"/>
    </row>
    <row r="157" spans="1:16" ht="18.75" x14ac:dyDescent="0.25">
      <c r="A157" s="7"/>
      <c r="B157" s="10" t="s">
        <v>163</v>
      </c>
      <c r="C157" s="55" t="s">
        <v>156</v>
      </c>
      <c r="D157" s="7"/>
      <c r="E157" s="5"/>
      <c r="F157" s="12" t="s">
        <v>77</v>
      </c>
      <c r="G157" s="73">
        <v>19</v>
      </c>
      <c r="H157" s="91"/>
      <c r="I157" s="91"/>
      <c r="J157" s="8"/>
      <c r="K157" s="4">
        <v>60.8</v>
      </c>
      <c r="L157" s="85">
        <f t="shared" ref="L157:L161" si="1">K157/G157</f>
        <v>3.1999999999999997</v>
      </c>
      <c r="M157" s="124" t="s">
        <v>464</v>
      </c>
    </row>
    <row r="158" spans="1:16" ht="18.75" x14ac:dyDescent="0.2">
      <c r="A158" s="7"/>
      <c r="B158" s="8" t="s">
        <v>164</v>
      </c>
      <c r="C158" s="9" t="s">
        <v>156</v>
      </c>
      <c r="D158" s="7"/>
      <c r="E158" s="5"/>
      <c r="F158" s="17" t="s">
        <v>22</v>
      </c>
      <c r="G158" s="74">
        <v>1</v>
      </c>
      <c r="H158" s="91"/>
      <c r="I158" s="91"/>
      <c r="J158" s="8"/>
      <c r="K158" s="4">
        <v>0.55000000000000004</v>
      </c>
      <c r="L158" s="85">
        <f t="shared" si="1"/>
        <v>0.55000000000000004</v>
      </c>
    </row>
    <row r="159" spans="1:16" ht="18.75" x14ac:dyDescent="0.2">
      <c r="A159" s="7"/>
      <c r="B159" s="8" t="s">
        <v>165</v>
      </c>
      <c r="C159" s="9" t="s">
        <v>156</v>
      </c>
      <c r="D159" s="7"/>
      <c r="E159" s="5"/>
      <c r="F159" s="17" t="s">
        <v>22</v>
      </c>
      <c r="G159" s="74">
        <v>1</v>
      </c>
      <c r="H159" s="91"/>
      <c r="I159" s="91"/>
      <c r="J159" s="8"/>
      <c r="K159" s="4">
        <v>1.92</v>
      </c>
      <c r="L159" s="85">
        <f t="shared" si="1"/>
        <v>1.92</v>
      </c>
    </row>
    <row r="160" spans="1:16" ht="18.75" x14ac:dyDescent="0.2">
      <c r="A160" s="7"/>
      <c r="B160" s="8" t="s">
        <v>166</v>
      </c>
      <c r="C160" s="9" t="s">
        <v>156</v>
      </c>
      <c r="D160" s="7"/>
      <c r="E160" s="5"/>
      <c r="F160" s="17" t="s">
        <v>22</v>
      </c>
      <c r="G160" s="74">
        <v>1</v>
      </c>
      <c r="H160" s="91"/>
      <c r="I160" s="91"/>
      <c r="J160" s="8"/>
      <c r="K160" s="4">
        <v>1.53</v>
      </c>
      <c r="L160" s="85">
        <f t="shared" si="1"/>
        <v>1.53</v>
      </c>
    </row>
    <row r="161" spans="1:14" ht="37.5" x14ac:dyDescent="0.25">
      <c r="A161" s="7"/>
      <c r="B161" s="16" t="s">
        <v>167</v>
      </c>
      <c r="C161" s="4" t="s">
        <v>156</v>
      </c>
      <c r="D161" s="7"/>
      <c r="E161" s="5"/>
      <c r="F161" s="15" t="s">
        <v>22</v>
      </c>
      <c r="G161" s="76">
        <v>8</v>
      </c>
      <c r="H161" s="91"/>
      <c r="I161" s="91"/>
      <c r="J161" s="8"/>
      <c r="K161" s="4">
        <v>20.48</v>
      </c>
      <c r="L161" s="85">
        <f t="shared" si="1"/>
        <v>2.56</v>
      </c>
    </row>
    <row r="162" spans="1:14" ht="18.75" x14ac:dyDescent="0.25">
      <c r="A162" s="48"/>
      <c r="B162" s="47" t="s">
        <v>168</v>
      </c>
      <c r="C162" s="58"/>
      <c r="D162" s="48"/>
      <c r="E162" s="46"/>
      <c r="F162" s="49" t="s">
        <v>103</v>
      </c>
      <c r="G162" s="77">
        <v>56.3</v>
      </c>
      <c r="H162" s="94"/>
      <c r="I162" s="94"/>
      <c r="J162" s="50"/>
      <c r="K162" s="58"/>
      <c r="L162"/>
    </row>
    <row r="163" spans="1:14" ht="18.75" x14ac:dyDescent="0.2">
      <c r="A163" s="99"/>
      <c r="B163" s="8" t="s">
        <v>147</v>
      </c>
      <c r="C163" s="9" t="s">
        <v>157</v>
      </c>
      <c r="D163" s="7"/>
      <c r="E163" s="6" t="s">
        <v>160</v>
      </c>
      <c r="F163" s="6" t="s">
        <v>161</v>
      </c>
      <c r="G163" s="74">
        <v>104.37</v>
      </c>
      <c r="H163" s="91"/>
      <c r="I163" s="91"/>
      <c r="J163" s="8"/>
      <c r="K163" s="9" t="s">
        <v>162</v>
      </c>
      <c r="L163"/>
    </row>
    <row r="164" spans="1:14" ht="18.75" x14ac:dyDescent="0.2">
      <c r="A164" s="7"/>
      <c r="B164" s="8" t="s">
        <v>148</v>
      </c>
      <c r="C164" s="20"/>
      <c r="D164" s="7"/>
      <c r="E164" s="5"/>
      <c r="F164" s="6" t="s">
        <v>161</v>
      </c>
      <c r="G164" s="74">
        <v>13.95</v>
      </c>
      <c r="H164" s="91"/>
      <c r="I164" s="91"/>
      <c r="J164" s="8"/>
      <c r="K164" s="20"/>
      <c r="L164"/>
    </row>
    <row r="165" spans="1:14" ht="19.5" x14ac:dyDescent="0.2">
      <c r="A165" s="7"/>
      <c r="B165" s="6" t="s">
        <v>169</v>
      </c>
      <c r="C165" s="20"/>
      <c r="D165" s="7"/>
      <c r="E165" s="5"/>
      <c r="F165" s="8"/>
      <c r="G165" s="74"/>
      <c r="H165" s="91"/>
      <c r="I165" s="65"/>
      <c r="J165" s="8"/>
      <c r="K165" s="20"/>
      <c r="L165"/>
    </row>
    <row r="166" spans="1:14" ht="38.25" x14ac:dyDescent="0.2">
      <c r="A166" s="7"/>
      <c r="B166" s="8" t="s">
        <v>170</v>
      </c>
      <c r="C166" s="9" t="s">
        <v>183</v>
      </c>
      <c r="D166" s="7"/>
      <c r="E166" s="6" t="s">
        <v>132</v>
      </c>
      <c r="F166" s="17" t="s">
        <v>22</v>
      </c>
      <c r="G166" s="74">
        <v>1</v>
      </c>
      <c r="H166" s="91"/>
      <c r="I166" s="91"/>
      <c r="J166" s="8"/>
      <c r="K166" s="20"/>
      <c r="L166"/>
      <c r="M166" s="124">
        <v>46809</v>
      </c>
      <c r="N166" s="122" t="s">
        <v>503</v>
      </c>
    </row>
    <row r="167" spans="1:14" ht="39" x14ac:dyDescent="0.25">
      <c r="A167" s="7"/>
      <c r="B167" s="10" t="s">
        <v>122</v>
      </c>
      <c r="C167" s="20"/>
      <c r="D167" s="7"/>
      <c r="E167" s="12" t="s">
        <v>132</v>
      </c>
      <c r="F167" s="14" t="s">
        <v>22</v>
      </c>
      <c r="G167" s="73">
        <v>1</v>
      </c>
      <c r="H167" s="91"/>
      <c r="I167" s="91"/>
      <c r="J167" s="8"/>
      <c r="K167" s="89" t="s">
        <v>463</v>
      </c>
      <c r="L167"/>
      <c r="M167" s="124">
        <v>166338.26999999999</v>
      </c>
      <c r="N167" s="122" t="s">
        <v>504</v>
      </c>
    </row>
    <row r="168" spans="1:14" ht="39" x14ac:dyDescent="0.25">
      <c r="A168" s="7"/>
      <c r="B168" s="16" t="s">
        <v>171</v>
      </c>
      <c r="C168" s="4" t="s">
        <v>184</v>
      </c>
      <c r="D168" s="3"/>
      <c r="E168" s="3" t="s">
        <v>158</v>
      </c>
      <c r="F168" s="15" t="s">
        <v>22</v>
      </c>
      <c r="G168" s="76">
        <v>8</v>
      </c>
      <c r="H168" s="91"/>
      <c r="I168" s="91"/>
      <c r="J168" s="8"/>
      <c r="K168" s="100" t="s">
        <v>458</v>
      </c>
      <c r="L168"/>
      <c r="M168" s="124">
        <v>15097</v>
      </c>
      <c r="N168" s="122" t="s">
        <v>505</v>
      </c>
    </row>
    <row r="169" spans="1:14" ht="39" x14ac:dyDescent="0.25">
      <c r="A169" s="7"/>
      <c r="B169" s="10" t="s">
        <v>136</v>
      </c>
      <c r="C169" s="55" t="s">
        <v>185</v>
      </c>
      <c r="D169" s="12"/>
      <c r="E169" s="12" t="s">
        <v>158</v>
      </c>
      <c r="F169" s="14" t="s">
        <v>22</v>
      </c>
      <c r="G169" s="73">
        <v>8</v>
      </c>
      <c r="H169" s="91"/>
      <c r="I169" s="91"/>
      <c r="J169" s="8"/>
      <c r="K169" s="100" t="s">
        <v>458</v>
      </c>
      <c r="L169"/>
      <c r="M169" s="124">
        <v>2711</v>
      </c>
      <c r="N169" s="122" t="s">
        <v>506</v>
      </c>
    </row>
    <row r="170" spans="1:14" ht="18.75" x14ac:dyDescent="0.25">
      <c r="A170" s="7"/>
      <c r="B170" s="10" t="s">
        <v>137</v>
      </c>
      <c r="C170" s="55" t="s">
        <v>186</v>
      </c>
      <c r="D170" s="7"/>
      <c r="E170" s="12" t="s">
        <v>159</v>
      </c>
      <c r="F170" s="14" t="s">
        <v>22</v>
      </c>
      <c r="G170" s="73">
        <v>1</v>
      </c>
      <c r="H170" s="91"/>
      <c r="I170" s="91"/>
      <c r="J170" s="8"/>
      <c r="K170" s="20"/>
      <c r="L170"/>
      <c r="M170" s="82" t="s">
        <v>460</v>
      </c>
    </row>
    <row r="171" spans="1:14" ht="37.5" x14ac:dyDescent="0.25">
      <c r="A171" s="7"/>
      <c r="B171" s="16" t="s">
        <v>172</v>
      </c>
      <c r="C171" s="86" t="s">
        <v>470</v>
      </c>
      <c r="D171" s="7"/>
      <c r="E171" s="5"/>
      <c r="F171" s="15" t="s">
        <v>22</v>
      </c>
      <c r="G171" s="76">
        <v>1</v>
      </c>
      <c r="H171" s="91"/>
      <c r="I171" s="91"/>
      <c r="J171" s="8"/>
      <c r="K171" s="20"/>
      <c r="L171" t="s">
        <v>483</v>
      </c>
    </row>
    <row r="172" spans="1:14" ht="18.75" x14ac:dyDescent="0.2">
      <c r="A172" s="48"/>
      <c r="B172" s="50" t="s">
        <v>173</v>
      </c>
      <c r="C172" s="58"/>
      <c r="D172" s="48"/>
      <c r="E172" s="46"/>
      <c r="F172" s="109" t="s">
        <v>161</v>
      </c>
      <c r="G172" s="110">
        <v>0.5</v>
      </c>
      <c r="H172" s="94"/>
      <c r="I172" s="94"/>
      <c r="J172" s="50"/>
      <c r="K172" s="58"/>
      <c r="L172"/>
    </row>
    <row r="173" spans="1:14" ht="18.75" x14ac:dyDescent="0.2">
      <c r="A173" s="7"/>
      <c r="B173" s="8" t="s">
        <v>174</v>
      </c>
      <c r="C173" s="9" t="s">
        <v>156</v>
      </c>
      <c r="D173" s="7"/>
      <c r="E173" s="5"/>
      <c r="F173" s="6" t="s">
        <v>77</v>
      </c>
      <c r="G173" s="74">
        <v>3.2</v>
      </c>
      <c r="H173" s="91"/>
      <c r="I173" s="91"/>
      <c r="J173" s="8"/>
      <c r="K173" s="4">
        <v>6.34</v>
      </c>
      <c r="L173" s="85">
        <f t="shared" ref="L173:L181" si="2">K173/G173</f>
        <v>1.98125</v>
      </c>
      <c r="M173" s="124" t="s">
        <v>464</v>
      </c>
    </row>
    <row r="174" spans="1:14" ht="18.75" x14ac:dyDescent="0.2">
      <c r="A174" s="7"/>
      <c r="B174" s="8" t="s">
        <v>175</v>
      </c>
      <c r="C174" s="9" t="s">
        <v>156</v>
      </c>
      <c r="D174" s="7"/>
      <c r="E174" s="5"/>
      <c r="F174" s="6" t="s">
        <v>77</v>
      </c>
      <c r="G174" s="74">
        <v>1</v>
      </c>
      <c r="H174" s="91"/>
      <c r="I174" s="91"/>
      <c r="J174" s="8"/>
      <c r="K174" s="4">
        <v>2.52</v>
      </c>
      <c r="L174" s="85">
        <f t="shared" si="2"/>
        <v>2.52</v>
      </c>
      <c r="M174" s="124" t="s">
        <v>464</v>
      </c>
    </row>
    <row r="175" spans="1:14" ht="18.75" x14ac:dyDescent="0.25">
      <c r="A175" s="7"/>
      <c r="B175" s="10" t="s">
        <v>176</v>
      </c>
      <c r="C175" s="55" t="s">
        <v>156</v>
      </c>
      <c r="D175" s="7"/>
      <c r="E175" s="5"/>
      <c r="F175" s="12" t="s">
        <v>77</v>
      </c>
      <c r="G175" s="73">
        <v>22</v>
      </c>
      <c r="H175" s="91"/>
      <c r="I175" s="91"/>
      <c r="J175" s="8"/>
      <c r="K175" s="4">
        <v>61.6</v>
      </c>
      <c r="L175" s="85">
        <f t="shared" si="2"/>
        <v>2.8000000000000003</v>
      </c>
      <c r="M175" s="124" t="s">
        <v>464</v>
      </c>
    </row>
    <row r="176" spans="1:14" ht="18.75" x14ac:dyDescent="0.2">
      <c r="A176" s="7"/>
      <c r="B176" s="8" t="s">
        <v>177</v>
      </c>
      <c r="C176" s="9" t="s">
        <v>156</v>
      </c>
      <c r="D176" s="7"/>
      <c r="E176" s="5"/>
      <c r="F176" s="17" t="s">
        <v>22</v>
      </c>
      <c r="G176" s="74">
        <v>1</v>
      </c>
      <c r="H176" s="91"/>
      <c r="I176" s="91"/>
      <c r="J176" s="8"/>
      <c r="K176" s="4">
        <v>1.831</v>
      </c>
      <c r="L176" s="85">
        <f t="shared" si="2"/>
        <v>1.831</v>
      </c>
    </row>
    <row r="177" spans="1:14" ht="18.75" x14ac:dyDescent="0.2">
      <c r="A177" s="7"/>
      <c r="B177" s="8" t="s">
        <v>178</v>
      </c>
      <c r="C177" s="9" t="s">
        <v>156</v>
      </c>
      <c r="D177" s="7"/>
      <c r="E177" s="5"/>
      <c r="F177" s="17" t="s">
        <v>22</v>
      </c>
      <c r="G177" s="74">
        <v>1</v>
      </c>
      <c r="H177" s="91"/>
      <c r="I177" s="91"/>
      <c r="J177" s="8"/>
      <c r="K177" s="4">
        <v>2.157</v>
      </c>
      <c r="L177" s="85">
        <f t="shared" si="2"/>
        <v>2.157</v>
      </c>
    </row>
    <row r="178" spans="1:14" ht="18.75" x14ac:dyDescent="0.2">
      <c r="A178" s="7"/>
      <c r="B178" s="8" t="s">
        <v>179</v>
      </c>
      <c r="C178" s="9" t="s">
        <v>156</v>
      </c>
      <c r="D178" s="7"/>
      <c r="E178" s="5"/>
      <c r="F178" s="17" t="s">
        <v>22</v>
      </c>
      <c r="G178" s="74">
        <v>2</v>
      </c>
      <c r="H178" s="91"/>
      <c r="I178" s="91"/>
      <c r="J178" s="8"/>
      <c r="K178" s="4">
        <v>6.82</v>
      </c>
      <c r="L178" s="85">
        <f t="shared" si="2"/>
        <v>3.41</v>
      </c>
    </row>
    <row r="179" spans="1:14" ht="18.75" x14ac:dyDescent="0.2">
      <c r="A179" s="7"/>
      <c r="B179" s="8" t="s">
        <v>180</v>
      </c>
      <c r="C179" s="9" t="s">
        <v>156</v>
      </c>
      <c r="D179" s="7"/>
      <c r="E179" s="5"/>
      <c r="F179" s="17" t="s">
        <v>22</v>
      </c>
      <c r="G179" s="74">
        <v>1</v>
      </c>
      <c r="H179" s="91"/>
      <c r="I179" s="91"/>
      <c r="J179" s="8"/>
      <c r="K179" s="4">
        <v>1.68</v>
      </c>
      <c r="L179" s="85">
        <f t="shared" si="2"/>
        <v>1.68</v>
      </c>
    </row>
    <row r="180" spans="1:14" ht="18.75" x14ac:dyDescent="0.2">
      <c r="A180" s="7"/>
      <c r="B180" s="8" t="s">
        <v>181</v>
      </c>
      <c r="C180" s="9" t="s">
        <v>156</v>
      </c>
      <c r="D180" s="7"/>
      <c r="E180" s="5"/>
      <c r="F180" s="17" t="s">
        <v>22</v>
      </c>
      <c r="G180" s="74">
        <v>1</v>
      </c>
      <c r="H180" s="91"/>
      <c r="I180" s="91"/>
      <c r="J180" s="8"/>
      <c r="K180" s="4">
        <v>0.495</v>
      </c>
      <c r="L180" s="85">
        <f t="shared" si="2"/>
        <v>0.495</v>
      </c>
    </row>
    <row r="181" spans="1:14" ht="18.75" x14ac:dyDescent="0.2">
      <c r="A181" s="7"/>
      <c r="B181" s="8" t="s">
        <v>182</v>
      </c>
      <c r="C181" s="9" t="s">
        <v>156</v>
      </c>
      <c r="D181" s="7"/>
      <c r="E181" s="5"/>
      <c r="F181" s="17" t="s">
        <v>22</v>
      </c>
      <c r="G181" s="74">
        <v>1</v>
      </c>
      <c r="H181" s="91"/>
      <c r="I181" s="91"/>
      <c r="J181" s="8"/>
      <c r="K181" s="4">
        <v>1.0249999999999999</v>
      </c>
      <c r="L181" s="85">
        <f t="shared" si="2"/>
        <v>1.0249999999999999</v>
      </c>
    </row>
    <row r="182" spans="1:14" x14ac:dyDescent="0.25">
      <c r="A182" s="11"/>
      <c r="B182" s="11"/>
      <c r="C182" s="56"/>
      <c r="D182" s="11"/>
      <c r="E182" s="11"/>
      <c r="F182" s="11"/>
      <c r="G182" s="73"/>
      <c r="H182" s="91"/>
      <c r="I182" s="64"/>
      <c r="J182" s="11"/>
      <c r="K182" s="56"/>
      <c r="L182"/>
    </row>
    <row r="183" spans="1:14" ht="37.5" x14ac:dyDescent="0.25">
      <c r="A183" s="7"/>
      <c r="B183" s="16" t="s">
        <v>187</v>
      </c>
      <c r="C183" s="4" t="s">
        <v>156</v>
      </c>
      <c r="D183" s="7"/>
      <c r="E183" s="5"/>
      <c r="F183" s="15" t="s">
        <v>22</v>
      </c>
      <c r="G183" s="76">
        <v>8</v>
      </c>
      <c r="H183" s="91"/>
      <c r="I183" s="91"/>
      <c r="J183" s="8"/>
      <c r="K183" s="4">
        <v>17.920000000000002</v>
      </c>
      <c r="L183" s="85">
        <f>K183/G183</f>
        <v>2.2400000000000002</v>
      </c>
    </row>
    <row r="184" spans="1:14" ht="18.75" x14ac:dyDescent="0.25">
      <c r="A184" s="48"/>
      <c r="B184" s="47" t="s">
        <v>188</v>
      </c>
      <c r="C184" s="58"/>
      <c r="D184" s="48"/>
      <c r="E184" s="46"/>
      <c r="F184" s="49" t="s">
        <v>103</v>
      </c>
      <c r="G184" s="77">
        <v>69.2</v>
      </c>
      <c r="H184" s="94"/>
      <c r="I184" s="94"/>
      <c r="J184" s="50"/>
      <c r="K184" s="58"/>
      <c r="L184"/>
    </row>
    <row r="185" spans="1:14" ht="18.75" x14ac:dyDescent="0.2">
      <c r="A185" s="99"/>
      <c r="B185" s="8" t="s">
        <v>147</v>
      </c>
      <c r="C185" s="9" t="s">
        <v>157</v>
      </c>
      <c r="D185" s="7"/>
      <c r="E185" s="6" t="s">
        <v>160</v>
      </c>
      <c r="F185" s="6" t="s">
        <v>161</v>
      </c>
      <c r="G185" s="74">
        <v>93.91</v>
      </c>
      <c r="H185" s="91"/>
      <c r="I185" s="91"/>
      <c r="J185" s="8"/>
      <c r="K185" s="9" t="s">
        <v>206</v>
      </c>
      <c r="L185"/>
    </row>
    <row r="186" spans="1:14" ht="19.5" x14ac:dyDescent="0.2">
      <c r="A186" s="7"/>
      <c r="B186" s="6" t="s">
        <v>189</v>
      </c>
      <c r="C186" s="20"/>
      <c r="D186" s="7"/>
      <c r="E186" s="5"/>
      <c r="F186" s="8"/>
      <c r="G186" s="74"/>
      <c r="H186" s="91"/>
      <c r="I186" s="65"/>
      <c r="J186" s="8"/>
      <c r="K186" s="20"/>
      <c r="L186"/>
    </row>
    <row r="187" spans="1:14" ht="39" x14ac:dyDescent="0.25">
      <c r="A187" s="7"/>
      <c r="B187" s="10" t="s">
        <v>170</v>
      </c>
      <c r="C187" s="55" t="s">
        <v>183</v>
      </c>
      <c r="D187" s="7"/>
      <c r="E187" s="12" t="s">
        <v>132</v>
      </c>
      <c r="F187" s="14" t="s">
        <v>22</v>
      </c>
      <c r="G187" s="73">
        <v>1</v>
      </c>
      <c r="H187" s="91"/>
      <c r="I187" s="91"/>
      <c r="J187" s="8"/>
      <c r="K187" s="20"/>
      <c r="L187"/>
      <c r="M187" s="124">
        <v>46809</v>
      </c>
      <c r="N187" s="122" t="s">
        <v>503</v>
      </c>
    </row>
    <row r="188" spans="1:14" ht="39" x14ac:dyDescent="0.25">
      <c r="A188" s="7"/>
      <c r="B188" s="10" t="s">
        <v>122</v>
      </c>
      <c r="C188" s="20"/>
      <c r="D188" s="7"/>
      <c r="E188" s="12" t="s">
        <v>132</v>
      </c>
      <c r="F188" s="14" t="s">
        <v>22</v>
      </c>
      <c r="G188" s="73">
        <v>1</v>
      </c>
      <c r="H188" s="91"/>
      <c r="I188" s="91"/>
      <c r="J188" s="8"/>
      <c r="K188" s="89" t="s">
        <v>463</v>
      </c>
      <c r="L188"/>
      <c r="M188" s="124">
        <v>166338.26999999999</v>
      </c>
      <c r="N188" s="122" t="s">
        <v>504</v>
      </c>
    </row>
    <row r="189" spans="1:14" ht="39" x14ac:dyDescent="0.25">
      <c r="A189" s="7"/>
      <c r="B189" s="16" t="s">
        <v>190</v>
      </c>
      <c r="C189" s="4" t="s">
        <v>184</v>
      </c>
      <c r="D189" s="3"/>
      <c r="E189" s="3" t="s">
        <v>158</v>
      </c>
      <c r="F189" s="15" t="s">
        <v>22</v>
      </c>
      <c r="G189" s="76">
        <v>8</v>
      </c>
      <c r="H189" s="91"/>
      <c r="I189" s="91"/>
      <c r="J189" s="8"/>
      <c r="K189" s="100" t="s">
        <v>458</v>
      </c>
      <c r="L189"/>
      <c r="M189" s="124">
        <v>15097</v>
      </c>
      <c r="N189" s="122" t="s">
        <v>505</v>
      </c>
    </row>
    <row r="190" spans="1:14" ht="39" x14ac:dyDescent="0.25">
      <c r="A190" s="7"/>
      <c r="B190" s="10" t="s">
        <v>136</v>
      </c>
      <c r="C190" s="55" t="s">
        <v>185</v>
      </c>
      <c r="D190" s="12"/>
      <c r="E190" s="12" t="s">
        <v>158</v>
      </c>
      <c r="F190" s="14" t="s">
        <v>22</v>
      </c>
      <c r="G190" s="73">
        <v>8</v>
      </c>
      <c r="H190" s="91"/>
      <c r="I190" s="91"/>
      <c r="J190" s="8"/>
      <c r="K190" s="100" t="s">
        <v>458</v>
      </c>
      <c r="L190"/>
      <c r="M190" s="124">
        <v>2711</v>
      </c>
      <c r="N190" s="122" t="s">
        <v>506</v>
      </c>
    </row>
    <row r="191" spans="1:14" ht="18.75" x14ac:dyDescent="0.25">
      <c r="A191" s="7"/>
      <c r="B191" s="10" t="s">
        <v>137</v>
      </c>
      <c r="C191" s="55" t="s">
        <v>186</v>
      </c>
      <c r="D191" s="7"/>
      <c r="E191" s="12" t="s">
        <v>159</v>
      </c>
      <c r="F191" s="14" t="s">
        <v>22</v>
      </c>
      <c r="G191" s="73">
        <v>1</v>
      </c>
      <c r="H191" s="91"/>
      <c r="I191" s="91"/>
      <c r="J191" s="8"/>
      <c r="K191" s="20"/>
      <c r="L191"/>
      <c r="M191" s="82" t="s">
        <v>460</v>
      </c>
    </row>
    <row r="192" spans="1:14" ht="37.5" x14ac:dyDescent="0.25">
      <c r="A192" s="7"/>
      <c r="B192" s="16" t="s">
        <v>191</v>
      </c>
      <c r="C192" s="86" t="s">
        <v>470</v>
      </c>
      <c r="D192" s="7"/>
      <c r="E192" s="5"/>
      <c r="F192" s="15" t="s">
        <v>22</v>
      </c>
      <c r="G192" s="76">
        <v>1</v>
      </c>
      <c r="H192" s="91"/>
      <c r="I192" s="91"/>
      <c r="J192" s="8"/>
      <c r="K192" s="20"/>
      <c r="L192" t="s">
        <v>483</v>
      </c>
    </row>
    <row r="193" spans="1:14" ht="18.75" x14ac:dyDescent="0.2">
      <c r="A193" s="7"/>
      <c r="B193" s="8" t="s">
        <v>192</v>
      </c>
      <c r="C193" s="9" t="s">
        <v>156</v>
      </c>
      <c r="D193" s="7"/>
      <c r="E193" s="5"/>
      <c r="F193" s="6" t="s">
        <v>77</v>
      </c>
      <c r="G193" s="74">
        <v>3.2</v>
      </c>
      <c r="H193" s="91"/>
      <c r="I193" s="91"/>
      <c r="J193" s="8"/>
      <c r="K193" s="4">
        <v>6.34</v>
      </c>
      <c r="L193" s="85">
        <f t="shared" ref="L193:L202" si="3">K193/G193</f>
        <v>1.98125</v>
      </c>
      <c r="M193" s="124" t="s">
        <v>464</v>
      </c>
    </row>
    <row r="194" spans="1:14" ht="18.75" x14ac:dyDescent="0.2">
      <c r="A194" s="7"/>
      <c r="B194" s="8" t="s">
        <v>193</v>
      </c>
      <c r="C194" s="9" t="s">
        <v>156</v>
      </c>
      <c r="D194" s="7"/>
      <c r="E194" s="5"/>
      <c r="F194" s="6" t="s">
        <v>77</v>
      </c>
      <c r="G194" s="74">
        <v>1</v>
      </c>
      <c r="H194" s="91"/>
      <c r="I194" s="91"/>
      <c r="J194" s="8"/>
      <c r="K194" s="4">
        <v>2.52</v>
      </c>
      <c r="L194" s="85">
        <f t="shared" si="3"/>
        <v>2.52</v>
      </c>
      <c r="M194" s="124" t="s">
        <v>464</v>
      </c>
    </row>
    <row r="195" spans="1:14" ht="18.75" x14ac:dyDescent="0.2">
      <c r="A195" s="7"/>
      <c r="B195" s="8" t="s">
        <v>194</v>
      </c>
      <c r="C195" s="9" t="s">
        <v>156</v>
      </c>
      <c r="D195" s="7"/>
      <c r="E195" s="5"/>
      <c r="F195" s="6" t="s">
        <v>77</v>
      </c>
      <c r="G195" s="74">
        <v>22</v>
      </c>
      <c r="H195" s="91"/>
      <c r="I195" s="91"/>
      <c r="J195" s="8"/>
      <c r="K195" s="4">
        <v>61.6</v>
      </c>
      <c r="L195" s="85">
        <f t="shared" si="3"/>
        <v>2.8000000000000003</v>
      </c>
      <c r="M195" s="124" t="s">
        <v>464</v>
      </c>
    </row>
    <row r="196" spans="1:14" ht="18.75" x14ac:dyDescent="0.2">
      <c r="A196" s="7"/>
      <c r="B196" s="8" t="s">
        <v>195</v>
      </c>
      <c r="C196" s="9" t="s">
        <v>156</v>
      </c>
      <c r="D196" s="7"/>
      <c r="E196" s="5"/>
      <c r="F196" s="17" t="s">
        <v>22</v>
      </c>
      <c r="G196" s="74">
        <v>1</v>
      </c>
      <c r="H196" s="91"/>
      <c r="I196" s="91"/>
      <c r="J196" s="8"/>
      <c r="K196" s="4">
        <v>1.831</v>
      </c>
      <c r="L196" s="85">
        <f t="shared" si="3"/>
        <v>1.831</v>
      </c>
    </row>
    <row r="197" spans="1:14" ht="18.75" x14ac:dyDescent="0.2">
      <c r="A197" s="7"/>
      <c r="B197" s="8" t="s">
        <v>196</v>
      </c>
      <c r="C197" s="9" t="s">
        <v>156</v>
      </c>
      <c r="D197" s="7"/>
      <c r="E197" s="5"/>
      <c r="F197" s="17" t="s">
        <v>22</v>
      </c>
      <c r="G197" s="74">
        <v>1</v>
      </c>
      <c r="H197" s="91"/>
      <c r="I197" s="91"/>
      <c r="J197" s="8"/>
      <c r="K197" s="4">
        <v>2.157</v>
      </c>
      <c r="L197" s="85">
        <f t="shared" si="3"/>
        <v>2.157</v>
      </c>
    </row>
    <row r="198" spans="1:14" ht="18.75" x14ac:dyDescent="0.2">
      <c r="A198" s="7"/>
      <c r="B198" s="8" t="s">
        <v>197</v>
      </c>
      <c r="C198" s="9" t="s">
        <v>156</v>
      </c>
      <c r="D198" s="7"/>
      <c r="E198" s="5"/>
      <c r="F198" s="17" t="s">
        <v>22</v>
      </c>
      <c r="G198" s="74">
        <v>2</v>
      </c>
      <c r="H198" s="91"/>
      <c r="I198" s="91"/>
      <c r="J198" s="8"/>
      <c r="K198" s="4">
        <v>6.82</v>
      </c>
      <c r="L198" s="85">
        <f t="shared" si="3"/>
        <v>3.41</v>
      </c>
    </row>
    <row r="199" spans="1:14" ht="18.75" x14ac:dyDescent="0.2">
      <c r="A199" s="7"/>
      <c r="B199" s="8" t="s">
        <v>198</v>
      </c>
      <c r="C199" s="9" t="s">
        <v>156</v>
      </c>
      <c r="D199" s="7"/>
      <c r="E199" s="5"/>
      <c r="F199" s="17" t="s">
        <v>22</v>
      </c>
      <c r="G199" s="74">
        <v>1</v>
      </c>
      <c r="H199" s="91"/>
      <c r="I199" s="91"/>
      <c r="J199" s="8"/>
      <c r="K199" s="4">
        <v>1.68</v>
      </c>
      <c r="L199" s="85">
        <f t="shared" si="3"/>
        <v>1.68</v>
      </c>
    </row>
    <row r="200" spans="1:14" ht="18.75" x14ac:dyDescent="0.2">
      <c r="A200" s="7"/>
      <c r="B200" s="8" t="s">
        <v>199</v>
      </c>
      <c r="C200" s="9" t="s">
        <v>156</v>
      </c>
      <c r="D200" s="7"/>
      <c r="E200" s="5"/>
      <c r="F200" s="17" t="s">
        <v>22</v>
      </c>
      <c r="G200" s="74">
        <v>1</v>
      </c>
      <c r="H200" s="91"/>
      <c r="I200" s="91"/>
      <c r="J200" s="8"/>
      <c r="K200" s="4">
        <v>0.495</v>
      </c>
      <c r="L200" s="85">
        <f t="shared" si="3"/>
        <v>0.495</v>
      </c>
    </row>
    <row r="201" spans="1:14" ht="18.75" x14ac:dyDescent="0.2">
      <c r="A201" s="7"/>
      <c r="B201" s="8" t="s">
        <v>200</v>
      </c>
      <c r="C201" s="9" t="s">
        <v>156</v>
      </c>
      <c r="D201" s="7"/>
      <c r="E201" s="5"/>
      <c r="F201" s="17" t="s">
        <v>22</v>
      </c>
      <c r="G201" s="74">
        <v>1</v>
      </c>
      <c r="H201" s="91"/>
      <c r="I201" s="91"/>
      <c r="J201" s="8"/>
      <c r="K201" s="4">
        <v>1.0249999999999999</v>
      </c>
      <c r="L201" s="85">
        <f t="shared" si="3"/>
        <v>1.0249999999999999</v>
      </c>
    </row>
    <row r="202" spans="1:14" ht="37.5" x14ac:dyDescent="0.25">
      <c r="A202" s="7"/>
      <c r="B202" s="16" t="s">
        <v>201</v>
      </c>
      <c r="C202" s="4" t="s">
        <v>156</v>
      </c>
      <c r="D202" s="7"/>
      <c r="E202" s="5"/>
      <c r="F202" s="15" t="s">
        <v>22</v>
      </c>
      <c r="G202" s="76">
        <v>8</v>
      </c>
      <c r="H202" s="91"/>
      <c r="I202" s="91"/>
      <c r="J202" s="8"/>
      <c r="K202" s="4">
        <v>17.920000000000002</v>
      </c>
      <c r="L202" s="85">
        <f t="shared" si="3"/>
        <v>2.2400000000000002</v>
      </c>
    </row>
    <row r="203" spans="1:14" ht="18.75" x14ac:dyDescent="0.25">
      <c r="A203" s="48"/>
      <c r="B203" s="47" t="s">
        <v>202</v>
      </c>
      <c r="C203" s="58"/>
      <c r="D203" s="48"/>
      <c r="E203" s="46"/>
      <c r="F203" s="49" t="s">
        <v>103</v>
      </c>
      <c r="G203" s="77">
        <v>69.2</v>
      </c>
      <c r="H203" s="94"/>
      <c r="I203" s="94"/>
      <c r="J203" s="50"/>
      <c r="K203" s="58"/>
      <c r="L203"/>
    </row>
    <row r="204" spans="1:14" ht="18.75" x14ac:dyDescent="0.2">
      <c r="A204" s="99"/>
      <c r="B204" s="8" t="s">
        <v>147</v>
      </c>
      <c r="C204" s="9" t="s">
        <v>157</v>
      </c>
      <c r="D204" s="7"/>
      <c r="E204" s="6" t="s">
        <v>160</v>
      </c>
      <c r="F204" s="6" t="s">
        <v>161</v>
      </c>
      <c r="G204" s="74">
        <v>93.91</v>
      </c>
      <c r="H204" s="91"/>
      <c r="I204" s="91"/>
      <c r="J204" s="8"/>
      <c r="K204" s="9" t="s">
        <v>206</v>
      </c>
      <c r="L204"/>
    </row>
    <row r="205" spans="1:14" ht="19.5" x14ac:dyDescent="0.2">
      <c r="A205" s="7"/>
      <c r="B205" s="6" t="s">
        <v>203</v>
      </c>
      <c r="C205" s="20"/>
      <c r="D205" s="7"/>
      <c r="E205" s="5"/>
      <c r="F205" s="8"/>
      <c r="G205" s="74"/>
      <c r="H205" s="91"/>
      <c r="I205" s="65"/>
      <c r="J205" s="8"/>
      <c r="K205" s="20"/>
      <c r="L205"/>
    </row>
    <row r="206" spans="1:14" ht="38.25" x14ac:dyDescent="0.2">
      <c r="A206" s="7"/>
      <c r="B206" s="8" t="s">
        <v>204</v>
      </c>
      <c r="C206" s="9" t="s">
        <v>205</v>
      </c>
      <c r="D206" s="7"/>
      <c r="E206" s="6" t="s">
        <v>132</v>
      </c>
      <c r="F206" s="17" t="s">
        <v>22</v>
      </c>
      <c r="G206" s="74">
        <v>1</v>
      </c>
      <c r="H206" s="91"/>
      <c r="I206" s="91"/>
      <c r="J206" s="8"/>
      <c r="K206" s="20"/>
      <c r="L206"/>
      <c r="M206" s="124">
        <v>88937.1</v>
      </c>
      <c r="N206" s="122" t="s">
        <v>507</v>
      </c>
    </row>
    <row r="207" spans="1:14" x14ac:dyDescent="0.25">
      <c r="A207" s="11"/>
      <c r="B207" s="11"/>
      <c r="C207" s="56"/>
      <c r="D207" s="11"/>
      <c r="E207" s="11"/>
      <c r="F207" s="11"/>
      <c r="G207" s="73"/>
      <c r="H207" s="91"/>
      <c r="I207" s="64"/>
      <c r="J207" s="11"/>
      <c r="K207" s="56"/>
      <c r="L207"/>
    </row>
    <row r="208" spans="1:14" ht="18.75" x14ac:dyDescent="0.25">
      <c r="A208" s="7"/>
      <c r="B208" s="10" t="s">
        <v>137</v>
      </c>
      <c r="C208" s="55" t="s">
        <v>231</v>
      </c>
      <c r="D208" s="7"/>
      <c r="E208" s="12" t="s">
        <v>159</v>
      </c>
      <c r="F208" s="14" t="s">
        <v>22</v>
      </c>
      <c r="G208" s="73">
        <v>1</v>
      </c>
      <c r="H208" s="91"/>
      <c r="I208" s="91"/>
      <c r="J208" s="8"/>
      <c r="K208" s="20"/>
      <c r="L208"/>
      <c r="M208" s="82" t="s">
        <v>460</v>
      </c>
    </row>
    <row r="209" spans="1:14" ht="18.75" x14ac:dyDescent="0.2">
      <c r="A209" s="48"/>
      <c r="B209" s="50" t="s">
        <v>173</v>
      </c>
      <c r="C209" s="58"/>
      <c r="D209" s="48"/>
      <c r="E209" s="46"/>
      <c r="F209" s="109" t="s">
        <v>161</v>
      </c>
      <c r="G209" s="110">
        <v>1.5</v>
      </c>
      <c r="H209" s="94"/>
      <c r="I209" s="94"/>
      <c r="J209" s="50"/>
      <c r="K209" s="58"/>
      <c r="L209"/>
    </row>
    <row r="210" spans="1:14" ht="18.75" x14ac:dyDescent="0.2">
      <c r="A210" s="7"/>
      <c r="B210" s="8" t="s">
        <v>207</v>
      </c>
      <c r="C210" s="9" t="s">
        <v>156</v>
      </c>
      <c r="D210" s="7"/>
      <c r="E210" s="5"/>
      <c r="F210" s="6" t="s">
        <v>77</v>
      </c>
      <c r="G210" s="74">
        <v>1.8</v>
      </c>
      <c r="H210" s="91"/>
      <c r="I210" s="91"/>
      <c r="J210" s="8"/>
      <c r="K210" s="4">
        <v>5.09</v>
      </c>
      <c r="L210" s="85">
        <f t="shared" ref="L210:L217" si="4">K210/G210</f>
        <v>2.8277777777777775</v>
      </c>
      <c r="M210" s="124" t="s">
        <v>464</v>
      </c>
    </row>
    <row r="211" spans="1:14" ht="18.75" x14ac:dyDescent="0.2">
      <c r="A211" s="7"/>
      <c r="B211" s="8" t="s">
        <v>208</v>
      </c>
      <c r="C211" s="9" t="s">
        <v>156</v>
      </c>
      <c r="D211" s="7"/>
      <c r="E211" s="5"/>
      <c r="F211" s="6" t="s">
        <v>77</v>
      </c>
      <c r="G211" s="74">
        <v>0.7</v>
      </c>
      <c r="H211" s="91"/>
      <c r="I211" s="91"/>
      <c r="J211" s="8"/>
      <c r="K211" s="4">
        <v>2.2000000000000002</v>
      </c>
      <c r="L211" s="85">
        <f t="shared" si="4"/>
        <v>3.1428571428571432</v>
      </c>
      <c r="M211" s="124" t="s">
        <v>464</v>
      </c>
    </row>
    <row r="212" spans="1:14" ht="18.75" x14ac:dyDescent="0.25">
      <c r="A212" s="7"/>
      <c r="B212" s="10" t="s">
        <v>209</v>
      </c>
      <c r="C212" s="55" t="s">
        <v>156</v>
      </c>
      <c r="D212" s="7"/>
      <c r="E212" s="5"/>
      <c r="F212" s="12" t="s">
        <v>77</v>
      </c>
      <c r="G212" s="73">
        <v>1</v>
      </c>
      <c r="H212" s="91"/>
      <c r="I212" s="91"/>
      <c r="J212" s="8"/>
      <c r="K212" s="4">
        <v>3.6</v>
      </c>
      <c r="L212" s="85">
        <f t="shared" si="4"/>
        <v>3.6</v>
      </c>
      <c r="M212" s="124" t="s">
        <v>464</v>
      </c>
    </row>
    <row r="213" spans="1:14" ht="18.75" x14ac:dyDescent="0.2">
      <c r="A213" s="7"/>
      <c r="B213" s="8" t="s">
        <v>210</v>
      </c>
      <c r="C213" s="9" t="s">
        <v>156</v>
      </c>
      <c r="D213" s="7"/>
      <c r="E213" s="5"/>
      <c r="F213" s="17" t="s">
        <v>22</v>
      </c>
      <c r="G213" s="74">
        <v>1</v>
      </c>
      <c r="H213" s="91"/>
      <c r="I213" s="91"/>
      <c r="J213" s="8"/>
      <c r="K213" s="4">
        <v>2.782</v>
      </c>
      <c r="L213" s="85">
        <f t="shared" si="4"/>
        <v>2.782</v>
      </c>
    </row>
    <row r="214" spans="1:14" ht="18.75" x14ac:dyDescent="0.2">
      <c r="A214" s="7"/>
      <c r="B214" s="8" t="s">
        <v>211</v>
      </c>
      <c r="C214" s="9" t="s">
        <v>156</v>
      </c>
      <c r="D214" s="7"/>
      <c r="E214" s="5"/>
      <c r="F214" s="17" t="s">
        <v>22</v>
      </c>
      <c r="G214" s="74">
        <v>2</v>
      </c>
      <c r="H214" s="91"/>
      <c r="I214" s="91"/>
      <c r="J214" s="8"/>
      <c r="K214" s="4">
        <v>2.5099999999999998</v>
      </c>
      <c r="L214" s="85">
        <f t="shared" si="4"/>
        <v>1.2549999999999999</v>
      </c>
    </row>
    <row r="215" spans="1:14" ht="18.75" x14ac:dyDescent="0.2">
      <c r="A215" s="7"/>
      <c r="B215" s="8" t="s">
        <v>212</v>
      </c>
      <c r="C215" s="9" t="s">
        <v>156</v>
      </c>
      <c r="D215" s="7"/>
      <c r="E215" s="5"/>
      <c r="F215" s="17" t="s">
        <v>22</v>
      </c>
      <c r="G215" s="74">
        <v>2</v>
      </c>
      <c r="H215" s="91"/>
      <c r="I215" s="91"/>
      <c r="J215" s="8"/>
      <c r="K215" s="4">
        <v>10.497999999999999</v>
      </c>
      <c r="L215" s="85">
        <f t="shared" si="4"/>
        <v>5.2489999999999997</v>
      </c>
    </row>
    <row r="216" spans="1:14" ht="18.75" x14ac:dyDescent="0.2">
      <c r="A216" s="7"/>
      <c r="B216" s="8" t="s">
        <v>213</v>
      </c>
      <c r="C216" s="9" t="s">
        <v>156</v>
      </c>
      <c r="D216" s="7"/>
      <c r="E216" s="5"/>
      <c r="F216" s="17" t="s">
        <v>22</v>
      </c>
      <c r="G216" s="74">
        <v>1</v>
      </c>
      <c r="H216" s="91"/>
      <c r="I216" s="91"/>
      <c r="J216" s="8"/>
      <c r="K216" s="4">
        <v>0.51</v>
      </c>
      <c r="L216" s="85">
        <f t="shared" si="4"/>
        <v>0.51</v>
      </c>
    </row>
    <row r="217" spans="1:14" ht="18.75" x14ac:dyDescent="0.2">
      <c r="A217" s="7"/>
      <c r="B217" s="8" t="s">
        <v>214</v>
      </c>
      <c r="C217" s="9" t="s">
        <v>156</v>
      </c>
      <c r="D217" s="7"/>
      <c r="E217" s="5"/>
      <c r="F217" s="17" t="s">
        <v>22</v>
      </c>
      <c r="G217" s="74">
        <v>1</v>
      </c>
      <c r="H217" s="91"/>
      <c r="I217" s="91"/>
      <c r="J217" s="8"/>
      <c r="K217" s="4">
        <v>1.4570000000000001</v>
      </c>
      <c r="L217" s="85">
        <f t="shared" si="4"/>
        <v>1.4570000000000001</v>
      </c>
    </row>
    <row r="218" spans="1:14" ht="18.75" x14ac:dyDescent="0.25">
      <c r="A218" s="48"/>
      <c r="B218" s="47" t="s">
        <v>215</v>
      </c>
      <c r="C218" s="58"/>
      <c r="D218" s="48"/>
      <c r="E218" s="46"/>
      <c r="F218" s="49" t="s">
        <v>103</v>
      </c>
      <c r="G218" s="77">
        <v>18.7</v>
      </c>
      <c r="H218" s="94"/>
      <c r="I218" s="94"/>
      <c r="J218" s="50"/>
      <c r="K218" s="58"/>
      <c r="L218"/>
    </row>
    <row r="219" spans="1:14" ht="19.5" x14ac:dyDescent="0.2">
      <c r="A219" s="7"/>
      <c r="B219" s="6" t="s">
        <v>216</v>
      </c>
      <c r="C219" s="20"/>
      <c r="D219" s="7"/>
      <c r="E219" s="5"/>
      <c r="F219" s="8"/>
      <c r="G219" s="74"/>
      <c r="H219" s="91"/>
      <c r="I219" s="65"/>
      <c r="J219" s="8"/>
      <c r="K219" s="20"/>
      <c r="L219"/>
    </row>
    <row r="220" spans="1:14" ht="18.75" x14ac:dyDescent="0.25">
      <c r="A220" s="7"/>
      <c r="B220" s="10" t="s">
        <v>217</v>
      </c>
      <c r="C220" s="112" t="s">
        <v>441</v>
      </c>
      <c r="D220" s="7"/>
      <c r="E220" s="12" t="s">
        <v>234</v>
      </c>
      <c r="F220" s="14" t="s">
        <v>22</v>
      </c>
      <c r="G220" s="73">
        <v>26</v>
      </c>
      <c r="H220" s="91"/>
      <c r="I220" s="91"/>
      <c r="J220" s="8"/>
      <c r="K220" s="111" t="s">
        <v>465</v>
      </c>
      <c r="L220"/>
    </row>
    <row r="221" spans="1:14" ht="51.75" x14ac:dyDescent="0.25">
      <c r="A221" s="7"/>
      <c r="B221" s="10" t="s">
        <v>218</v>
      </c>
      <c r="C221" s="112" t="s">
        <v>508</v>
      </c>
      <c r="D221" s="7"/>
      <c r="E221" s="12" t="s">
        <v>235</v>
      </c>
      <c r="F221" s="14" t="s">
        <v>22</v>
      </c>
      <c r="G221" s="73">
        <v>184</v>
      </c>
      <c r="H221" s="91"/>
      <c r="I221" s="91"/>
      <c r="J221" s="8"/>
      <c r="K221" s="20"/>
      <c r="L221"/>
      <c r="M221" s="124">
        <v>477</v>
      </c>
      <c r="N221" s="122" t="s">
        <v>509</v>
      </c>
    </row>
    <row r="222" spans="1:14" ht="39" x14ac:dyDescent="0.25">
      <c r="A222" s="7"/>
      <c r="B222" s="10" t="s">
        <v>218</v>
      </c>
      <c r="C222" s="55" t="s">
        <v>232</v>
      </c>
      <c r="D222" s="7"/>
      <c r="E222" s="12" t="s">
        <v>235</v>
      </c>
      <c r="F222" s="14" t="s">
        <v>22</v>
      </c>
      <c r="G222" s="73">
        <v>4</v>
      </c>
      <c r="H222" s="91"/>
      <c r="I222" s="91"/>
      <c r="J222" s="8"/>
      <c r="K222" s="20"/>
      <c r="L222"/>
      <c r="M222" s="124">
        <v>2737</v>
      </c>
      <c r="N222" s="122" t="s">
        <v>510</v>
      </c>
    </row>
    <row r="223" spans="1:14" ht="18.75" x14ac:dyDescent="0.25">
      <c r="A223" s="7"/>
      <c r="B223" s="10" t="s">
        <v>219</v>
      </c>
      <c r="C223" s="55" t="s">
        <v>233</v>
      </c>
      <c r="D223" s="7"/>
      <c r="E223" s="12" t="s">
        <v>235</v>
      </c>
      <c r="F223" s="14" t="s">
        <v>22</v>
      </c>
      <c r="G223" s="73">
        <v>2</v>
      </c>
      <c r="H223" s="91"/>
      <c r="I223" s="91"/>
      <c r="J223" s="8"/>
      <c r="K223" s="20"/>
      <c r="L223"/>
    </row>
    <row r="224" spans="1:14" ht="18.75" x14ac:dyDescent="0.25">
      <c r="A224" s="7"/>
      <c r="B224" s="10" t="s">
        <v>220</v>
      </c>
      <c r="C224" s="55" t="s">
        <v>156</v>
      </c>
      <c r="D224" s="7"/>
      <c r="E224" s="5"/>
      <c r="F224" s="12" t="s">
        <v>77</v>
      </c>
      <c r="G224" s="73">
        <v>33.5</v>
      </c>
      <c r="H224" s="91"/>
      <c r="I224" s="91"/>
      <c r="J224" s="8"/>
      <c r="K224" s="4">
        <v>20.100000000000001</v>
      </c>
      <c r="L224" s="85">
        <f t="shared" ref="L224:L226" si="5">K224/G224</f>
        <v>0.60000000000000009</v>
      </c>
      <c r="M224" s="124">
        <v>0.5</v>
      </c>
    </row>
    <row r="225" spans="1:14" ht="18.75" x14ac:dyDescent="0.2">
      <c r="A225" s="7"/>
      <c r="B225" s="8" t="s">
        <v>221</v>
      </c>
      <c r="C225" s="9" t="s">
        <v>156</v>
      </c>
      <c r="D225" s="7"/>
      <c r="E225" s="5"/>
      <c r="F225" s="6" t="s">
        <v>77</v>
      </c>
      <c r="G225" s="74">
        <v>3.5</v>
      </c>
      <c r="H225" s="91"/>
      <c r="I225" s="91"/>
      <c r="J225" s="8"/>
      <c r="K225" s="4">
        <v>7</v>
      </c>
      <c r="L225" s="85">
        <f t="shared" si="5"/>
        <v>2</v>
      </c>
    </row>
    <row r="226" spans="1:14" ht="18.75" x14ac:dyDescent="0.25">
      <c r="A226" s="7"/>
      <c r="B226" s="10" t="s">
        <v>222</v>
      </c>
      <c r="C226" s="55" t="s">
        <v>156</v>
      </c>
      <c r="D226" s="7"/>
      <c r="E226" s="5"/>
      <c r="F226" s="14" t="s">
        <v>22</v>
      </c>
      <c r="G226" s="73">
        <v>43</v>
      </c>
      <c r="H226" s="91"/>
      <c r="I226" s="91"/>
      <c r="J226" s="8"/>
      <c r="K226" s="4">
        <v>0.3</v>
      </c>
      <c r="L226" s="85">
        <f t="shared" si="5"/>
        <v>6.9767441860465115E-3</v>
      </c>
      <c r="M226" s="124">
        <v>0.5</v>
      </c>
    </row>
    <row r="227" spans="1:14" ht="18.75" x14ac:dyDescent="0.25">
      <c r="A227" s="7"/>
      <c r="B227" s="10" t="s">
        <v>223</v>
      </c>
      <c r="C227" s="55" t="s">
        <v>156</v>
      </c>
      <c r="D227" s="7"/>
      <c r="E227" s="5"/>
      <c r="F227" s="14" t="s">
        <v>22</v>
      </c>
      <c r="G227" s="73">
        <v>4</v>
      </c>
      <c r="H227" s="91"/>
      <c r="I227" s="91"/>
      <c r="J227" s="8"/>
      <c r="K227" s="4"/>
      <c r="L227" s="85">
        <v>1.54</v>
      </c>
    </row>
    <row r="228" spans="1:14" ht="18.75" x14ac:dyDescent="0.25">
      <c r="A228" s="48"/>
      <c r="B228" s="47" t="s">
        <v>224</v>
      </c>
      <c r="C228" s="58"/>
      <c r="D228" s="48"/>
      <c r="E228" s="46"/>
      <c r="F228" s="49" t="s">
        <v>103</v>
      </c>
      <c r="G228" s="77">
        <v>6.45</v>
      </c>
      <c r="H228" s="94"/>
      <c r="I228" s="94"/>
      <c r="J228" s="50"/>
      <c r="K228" s="58"/>
      <c r="L228"/>
    </row>
    <row r="229" spans="1:14" ht="19.5" x14ac:dyDescent="0.3">
      <c r="A229" s="7"/>
      <c r="B229" s="10" t="s">
        <v>225</v>
      </c>
      <c r="C229" s="20"/>
      <c r="D229" s="7"/>
      <c r="E229" s="5"/>
      <c r="F229" s="8"/>
      <c r="G229" s="74"/>
      <c r="H229" s="91"/>
      <c r="I229" s="65"/>
      <c r="J229" s="8"/>
      <c r="K229" s="20"/>
      <c r="L229"/>
    </row>
    <row r="230" spans="1:14" ht="18.75" x14ac:dyDescent="0.25">
      <c r="A230" s="7"/>
      <c r="B230" s="10" t="s">
        <v>226</v>
      </c>
      <c r="C230" s="55" t="s">
        <v>156</v>
      </c>
      <c r="D230" s="7"/>
      <c r="E230" s="5"/>
      <c r="F230" s="12" t="s">
        <v>77</v>
      </c>
      <c r="G230" s="73">
        <v>123.5</v>
      </c>
      <c r="H230" s="91"/>
      <c r="I230" s="91"/>
      <c r="J230" s="8"/>
      <c r="K230" s="4">
        <v>101.27</v>
      </c>
      <c r="L230" s="85">
        <f t="shared" ref="L230:L232" si="6">K230/G230</f>
        <v>0.82</v>
      </c>
    </row>
    <row r="231" spans="1:14" ht="18.75" x14ac:dyDescent="0.25">
      <c r="A231" s="7"/>
      <c r="B231" s="10" t="s">
        <v>227</v>
      </c>
      <c r="C231" s="55" t="s">
        <v>156</v>
      </c>
      <c r="D231" s="7"/>
      <c r="E231" s="5"/>
      <c r="F231" s="12" t="s">
        <v>77</v>
      </c>
      <c r="G231" s="73">
        <v>57.5</v>
      </c>
      <c r="H231" s="91"/>
      <c r="I231" s="91"/>
      <c r="J231" s="8"/>
      <c r="K231" s="4">
        <v>73.599999999999994</v>
      </c>
      <c r="L231" s="85">
        <f t="shared" si="6"/>
        <v>1.2799999999999998</v>
      </c>
    </row>
    <row r="232" spans="1:14" ht="18.75" x14ac:dyDescent="0.25">
      <c r="A232" s="7"/>
      <c r="B232" s="10" t="s">
        <v>228</v>
      </c>
      <c r="C232" s="55" t="s">
        <v>156</v>
      </c>
      <c r="D232" s="7"/>
      <c r="E232" s="5"/>
      <c r="F232" s="12" t="s">
        <v>77</v>
      </c>
      <c r="G232" s="73">
        <v>9</v>
      </c>
      <c r="H232" s="91"/>
      <c r="I232" s="91"/>
      <c r="J232" s="8"/>
      <c r="K232" s="4">
        <v>14.4</v>
      </c>
      <c r="L232" s="85">
        <f t="shared" si="6"/>
        <v>1.6</v>
      </c>
    </row>
    <row r="233" spans="1:14" ht="18.75" x14ac:dyDescent="0.25">
      <c r="A233" s="48"/>
      <c r="B233" s="47" t="s">
        <v>229</v>
      </c>
      <c r="C233" s="58"/>
      <c r="D233" s="48"/>
      <c r="E233" s="46"/>
      <c r="F233" s="49" t="s">
        <v>103</v>
      </c>
      <c r="G233" s="77">
        <v>123.1</v>
      </c>
      <c r="H233" s="94"/>
      <c r="I233" s="94"/>
      <c r="J233" s="50"/>
      <c r="K233" s="58"/>
      <c r="L233"/>
    </row>
    <row r="234" spans="1:14" ht="72" x14ac:dyDescent="0.25">
      <c r="A234" s="98" t="s">
        <v>456</v>
      </c>
      <c r="B234" s="8" t="s">
        <v>230</v>
      </c>
      <c r="C234" s="113" t="s">
        <v>467</v>
      </c>
      <c r="D234" s="7"/>
      <c r="E234" s="6" t="s">
        <v>236</v>
      </c>
      <c r="F234" s="6" t="s">
        <v>161</v>
      </c>
      <c r="G234" s="74">
        <v>226.17</v>
      </c>
      <c r="H234" s="107"/>
      <c r="I234" s="91"/>
      <c r="J234" s="8"/>
      <c r="K234" s="9" t="s">
        <v>237</v>
      </c>
      <c r="L234" s="116" t="s">
        <v>468</v>
      </c>
      <c r="M234" s="124" t="s">
        <v>475</v>
      </c>
      <c r="N234" s="120" t="s">
        <v>473</v>
      </c>
    </row>
    <row r="235" spans="1:14" x14ac:dyDescent="0.25">
      <c r="A235" s="11"/>
      <c r="B235" s="11"/>
      <c r="C235" s="56"/>
      <c r="D235" s="11"/>
      <c r="E235" s="11"/>
      <c r="F235" s="11"/>
      <c r="G235" s="73"/>
      <c r="H235" s="91"/>
      <c r="I235" s="64"/>
      <c r="J235" s="11"/>
      <c r="K235" s="56"/>
      <c r="L235"/>
    </row>
    <row r="236" spans="1:14" ht="75" x14ac:dyDescent="0.2">
      <c r="A236" s="3" t="s">
        <v>238</v>
      </c>
      <c r="B236" s="21" t="s">
        <v>255</v>
      </c>
      <c r="C236" s="4" t="s">
        <v>271</v>
      </c>
      <c r="D236" s="4" t="s">
        <v>276</v>
      </c>
      <c r="E236" s="4" t="s">
        <v>277</v>
      </c>
      <c r="F236" s="4" t="s">
        <v>280</v>
      </c>
      <c r="G236" s="78" t="s">
        <v>445</v>
      </c>
      <c r="H236" s="95"/>
      <c r="I236" s="95"/>
      <c r="J236" s="4" t="s">
        <v>282</v>
      </c>
      <c r="K236" s="4" t="s">
        <v>283</v>
      </c>
      <c r="L236"/>
    </row>
    <row r="237" spans="1:14" ht="18.75" x14ac:dyDescent="0.2">
      <c r="A237" s="3" t="s">
        <v>239</v>
      </c>
      <c r="B237" s="3" t="s">
        <v>241</v>
      </c>
      <c r="C237" s="4" t="s">
        <v>242</v>
      </c>
      <c r="D237" s="3" t="s">
        <v>243</v>
      </c>
      <c r="E237" s="3" t="s">
        <v>244</v>
      </c>
      <c r="F237" s="3" t="s">
        <v>245</v>
      </c>
      <c r="G237" s="76">
        <v>7</v>
      </c>
      <c r="H237" s="91"/>
      <c r="I237" s="91"/>
      <c r="J237" s="3" t="s">
        <v>247</v>
      </c>
      <c r="K237" s="4" t="s">
        <v>248</v>
      </c>
      <c r="L237"/>
    </row>
    <row r="238" spans="1:14" ht="26.25" x14ac:dyDescent="0.2">
      <c r="A238" s="18" t="s">
        <v>240</v>
      </c>
      <c r="B238" s="18"/>
      <c r="C238" s="20"/>
      <c r="D238" s="18"/>
      <c r="E238" s="18"/>
      <c r="F238" s="18"/>
      <c r="G238" s="79"/>
      <c r="H238" s="91"/>
      <c r="I238" s="67"/>
      <c r="J238" s="18"/>
      <c r="K238" s="20"/>
      <c r="L238"/>
    </row>
    <row r="239" spans="1:14" ht="18.75" x14ac:dyDescent="0.3">
      <c r="A239" s="31" t="s">
        <v>239</v>
      </c>
      <c r="B239" s="28" t="s">
        <v>256</v>
      </c>
      <c r="C239" s="54" t="s">
        <v>272</v>
      </c>
      <c r="D239" s="24"/>
      <c r="E239" s="31" t="s">
        <v>278</v>
      </c>
      <c r="F239" s="31" t="s">
        <v>281</v>
      </c>
      <c r="G239" s="72">
        <v>2</v>
      </c>
      <c r="H239" s="92"/>
      <c r="I239" s="101"/>
      <c r="J239" s="27"/>
      <c r="K239" s="44"/>
      <c r="L239"/>
    </row>
    <row r="240" spans="1:14" ht="37.5" x14ac:dyDescent="0.3">
      <c r="A240" s="37" t="s">
        <v>241</v>
      </c>
      <c r="B240" s="35" t="s">
        <v>257</v>
      </c>
      <c r="C240" s="44"/>
      <c r="D240" s="24"/>
      <c r="E240" s="24"/>
      <c r="F240" s="37" t="s">
        <v>281</v>
      </c>
      <c r="G240" s="71">
        <v>2</v>
      </c>
      <c r="H240" s="92"/>
      <c r="I240" s="102"/>
      <c r="J240" s="27"/>
      <c r="K240" s="44"/>
      <c r="L240"/>
    </row>
    <row r="241" spans="1:12" ht="37.5" x14ac:dyDescent="0.3">
      <c r="A241" s="37" t="s">
        <v>242</v>
      </c>
      <c r="B241" s="35" t="s">
        <v>258</v>
      </c>
      <c r="C241" s="44"/>
      <c r="D241" s="24"/>
      <c r="E241" s="24"/>
      <c r="F241" s="37" t="s">
        <v>281</v>
      </c>
      <c r="G241" s="71">
        <v>12</v>
      </c>
      <c r="H241" s="92"/>
      <c r="I241" s="102"/>
      <c r="J241" s="27"/>
      <c r="K241" s="44"/>
      <c r="L241"/>
    </row>
    <row r="242" spans="1:12" ht="37.5" x14ac:dyDescent="0.3">
      <c r="A242" s="37" t="s">
        <v>243</v>
      </c>
      <c r="B242" s="35" t="s">
        <v>259</v>
      </c>
      <c r="C242" s="44"/>
      <c r="D242" s="24"/>
      <c r="E242" s="24"/>
      <c r="F242" s="37" t="s">
        <v>281</v>
      </c>
      <c r="G242" s="71">
        <v>14</v>
      </c>
      <c r="H242" s="92"/>
      <c r="I242" s="102"/>
      <c r="J242" s="27"/>
      <c r="K242" s="44"/>
      <c r="L242"/>
    </row>
    <row r="243" spans="1:12" ht="18.75" x14ac:dyDescent="0.3">
      <c r="A243" s="31" t="s">
        <v>244</v>
      </c>
      <c r="B243" s="28" t="s">
        <v>260</v>
      </c>
      <c r="C243" s="44"/>
      <c r="D243" s="24"/>
      <c r="E243" s="24"/>
      <c r="F243" s="31" t="s">
        <v>281</v>
      </c>
      <c r="G243" s="72">
        <v>2</v>
      </c>
      <c r="H243" s="92"/>
      <c r="I243" s="101"/>
      <c r="J243" s="27"/>
      <c r="K243" s="44"/>
      <c r="L243"/>
    </row>
    <row r="244" spans="1:12" ht="18.75" x14ac:dyDescent="0.3">
      <c r="A244" s="31" t="s">
        <v>245</v>
      </c>
      <c r="B244" s="28" t="s">
        <v>261</v>
      </c>
      <c r="C244" s="54" t="s">
        <v>273</v>
      </c>
      <c r="D244" s="24"/>
      <c r="E244" s="31" t="s">
        <v>278</v>
      </c>
      <c r="F244" s="31" t="s">
        <v>281</v>
      </c>
      <c r="G244" s="72">
        <v>2</v>
      </c>
      <c r="H244" s="92"/>
      <c r="I244" s="101"/>
      <c r="J244" s="27"/>
      <c r="K244" s="44"/>
      <c r="L244"/>
    </row>
    <row r="245" spans="1:12" ht="18.75" x14ac:dyDescent="0.3">
      <c r="A245" s="31" t="s">
        <v>246</v>
      </c>
      <c r="B245" s="28" t="s">
        <v>262</v>
      </c>
      <c r="C245" s="54" t="s">
        <v>273</v>
      </c>
      <c r="D245" s="24"/>
      <c r="E245" s="31" t="s">
        <v>278</v>
      </c>
      <c r="F245" s="31" t="s">
        <v>281</v>
      </c>
      <c r="G245" s="72">
        <v>2</v>
      </c>
      <c r="H245" s="92"/>
      <c r="I245" s="101"/>
      <c r="J245" s="27"/>
      <c r="K245" s="44"/>
      <c r="L245"/>
    </row>
    <row r="246" spans="1:12" ht="18.75" x14ac:dyDescent="0.3">
      <c r="A246" s="31" t="s">
        <v>247</v>
      </c>
      <c r="B246" s="28" t="s">
        <v>263</v>
      </c>
      <c r="C246" s="54" t="s">
        <v>274</v>
      </c>
      <c r="D246" s="24"/>
      <c r="E246" s="31" t="s">
        <v>278</v>
      </c>
      <c r="F246" s="31" t="s">
        <v>281</v>
      </c>
      <c r="G246" s="72">
        <v>2</v>
      </c>
      <c r="H246" s="92"/>
      <c r="I246" s="101"/>
      <c r="J246" s="27"/>
      <c r="K246" s="44"/>
      <c r="L246"/>
    </row>
    <row r="247" spans="1:12" ht="18.75" x14ac:dyDescent="0.3">
      <c r="A247" s="31" t="s">
        <v>248</v>
      </c>
      <c r="B247" s="28" t="s">
        <v>264</v>
      </c>
      <c r="C247" s="44"/>
      <c r="D247" s="24"/>
      <c r="E247" s="31" t="s">
        <v>278</v>
      </c>
      <c r="F247" s="31" t="s">
        <v>281</v>
      </c>
      <c r="G247" s="72">
        <v>1</v>
      </c>
      <c r="H247" s="92"/>
      <c r="I247" s="101"/>
      <c r="J247" s="27"/>
      <c r="K247" s="44"/>
      <c r="L247"/>
    </row>
    <row r="248" spans="1:12" ht="18.75" x14ac:dyDescent="0.3">
      <c r="A248" s="31" t="s">
        <v>249</v>
      </c>
      <c r="B248" s="28" t="s">
        <v>265</v>
      </c>
      <c r="C248" s="44"/>
      <c r="D248" s="24"/>
      <c r="E248" s="31" t="s">
        <v>278</v>
      </c>
      <c r="F248" s="31" t="s">
        <v>281</v>
      </c>
      <c r="G248" s="72">
        <v>2</v>
      </c>
      <c r="H248" s="92"/>
      <c r="I248" s="101"/>
      <c r="J248" s="27"/>
      <c r="K248" s="44"/>
      <c r="L248"/>
    </row>
    <row r="249" spans="1:12" ht="37.5" x14ac:dyDescent="0.3">
      <c r="A249" s="37" t="s">
        <v>250</v>
      </c>
      <c r="B249" s="35" t="s">
        <v>266</v>
      </c>
      <c r="C249" s="23" t="s">
        <v>275</v>
      </c>
      <c r="D249" s="24"/>
      <c r="E249" s="37" t="s">
        <v>279</v>
      </c>
      <c r="F249" s="37" t="s">
        <v>281</v>
      </c>
      <c r="G249" s="71">
        <v>2</v>
      </c>
      <c r="H249" s="92"/>
      <c r="I249" s="102"/>
      <c r="J249" s="27"/>
      <c r="K249" s="44"/>
      <c r="L249"/>
    </row>
    <row r="250" spans="1:12" ht="18.75" x14ac:dyDescent="0.3">
      <c r="A250" s="31" t="s">
        <v>251</v>
      </c>
      <c r="B250" s="28" t="s">
        <v>267</v>
      </c>
      <c r="C250" s="44"/>
      <c r="D250" s="24"/>
      <c r="E250" s="24"/>
      <c r="F250" s="31" t="s">
        <v>281</v>
      </c>
      <c r="G250" s="72">
        <v>2</v>
      </c>
      <c r="H250" s="92"/>
      <c r="I250" s="101"/>
      <c r="J250" s="27"/>
      <c r="K250" s="44"/>
      <c r="L250"/>
    </row>
    <row r="251" spans="1:12" ht="18.75" x14ac:dyDescent="0.3">
      <c r="A251" s="31" t="s">
        <v>252</v>
      </c>
      <c r="B251" s="28" t="s">
        <v>268</v>
      </c>
      <c r="C251" s="44"/>
      <c r="D251" s="24"/>
      <c r="E251" s="24"/>
      <c r="F251" s="31" t="s">
        <v>281</v>
      </c>
      <c r="G251" s="72">
        <v>2</v>
      </c>
      <c r="H251" s="92"/>
      <c r="I251" s="101"/>
      <c r="J251" s="27"/>
      <c r="K251" s="44"/>
      <c r="L251"/>
    </row>
    <row r="252" spans="1:12" ht="18.75" x14ac:dyDescent="0.3">
      <c r="A252" s="31" t="s">
        <v>253</v>
      </c>
      <c r="B252" s="28" t="s">
        <v>269</v>
      </c>
      <c r="C252" s="54" t="s">
        <v>273</v>
      </c>
      <c r="D252" s="24"/>
      <c r="E252" s="31" t="s">
        <v>278</v>
      </c>
      <c r="F252" s="31" t="s">
        <v>281</v>
      </c>
      <c r="G252" s="72">
        <v>2</v>
      </c>
      <c r="H252" s="92"/>
      <c r="I252" s="101"/>
      <c r="J252" s="27"/>
      <c r="K252" s="44"/>
      <c r="L252"/>
    </row>
    <row r="253" spans="1:12" ht="18.75" x14ac:dyDescent="0.3">
      <c r="A253" s="31" t="s">
        <v>254</v>
      </c>
      <c r="B253" s="28" t="s">
        <v>270</v>
      </c>
      <c r="C253" s="54" t="s">
        <v>274</v>
      </c>
      <c r="D253" s="24"/>
      <c r="E253" s="31" t="s">
        <v>278</v>
      </c>
      <c r="F253" s="31" t="s">
        <v>281</v>
      </c>
      <c r="G253" s="72">
        <v>1</v>
      </c>
      <c r="H253" s="92"/>
      <c r="I253" s="101"/>
      <c r="J253" s="27"/>
      <c r="K253" s="44"/>
      <c r="L253"/>
    </row>
    <row r="254" spans="1:12" x14ac:dyDescent="0.25">
      <c r="A254" s="30"/>
      <c r="B254" s="30"/>
      <c r="C254" s="53"/>
      <c r="D254" s="30"/>
      <c r="E254" s="30"/>
      <c r="F254" s="30"/>
      <c r="G254" s="72"/>
      <c r="H254" s="92"/>
      <c r="I254" s="63"/>
      <c r="J254" s="30"/>
      <c r="K254" s="53"/>
      <c r="L254"/>
    </row>
    <row r="255" spans="1:12" ht="26.25" x14ac:dyDescent="0.2">
      <c r="A255" s="51" t="s">
        <v>240</v>
      </c>
      <c r="B255" s="51"/>
      <c r="C255" s="44"/>
      <c r="D255" s="51"/>
      <c r="E255" s="51"/>
      <c r="F255" s="51"/>
      <c r="G255" s="80"/>
      <c r="H255" s="92"/>
      <c r="I255" s="68"/>
      <c r="J255" s="51"/>
      <c r="K255" s="44"/>
      <c r="L255"/>
    </row>
    <row r="256" spans="1:12" ht="37.5" x14ac:dyDescent="0.3">
      <c r="A256" s="37" t="s">
        <v>284</v>
      </c>
      <c r="B256" s="35" t="s">
        <v>291</v>
      </c>
      <c r="C256" s="23" t="s">
        <v>275</v>
      </c>
      <c r="D256" s="24"/>
      <c r="E256" s="37" t="s">
        <v>279</v>
      </c>
      <c r="F256" s="37" t="s">
        <v>281</v>
      </c>
      <c r="G256" s="71">
        <v>1</v>
      </c>
      <c r="H256" s="92"/>
      <c r="I256" s="102"/>
      <c r="J256" s="27"/>
      <c r="K256" s="44"/>
      <c r="L256"/>
    </row>
    <row r="257" spans="1:12" ht="18.75" x14ac:dyDescent="0.3">
      <c r="A257" s="31" t="s">
        <v>285</v>
      </c>
      <c r="B257" s="28" t="s">
        <v>292</v>
      </c>
      <c r="C257" s="44"/>
      <c r="D257" s="24"/>
      <c r="E257" s="24"/>
      <c r="F257" s="31" t="s">
        <v>281</v>
      </c>
      <c r="G257" s="72">
        <v>1</v>
      </c>
      <c r="H257" s="92"/>
      <c r="I257" s="101"/>
      <c r="J257" s="27"/>
      <c r="K257" s="44"/>
      <c r="L257"/>
    </row>
    <row r="258" spans="1:12" ht="37.5" x14ac:dyDescent="0.3">
      <c r="A258" s="37" t="s">
        <v>286</v>
      </c>
      <c r="B258" s="35" t="s">
        <v>293</v>
      </c>
      <c r="C258" s="44"/>
      <c r="D258" s="24"/>
      <c r="E258" s="24"/>
      <c r="F258" s="37" t="s">
        <v>281</v>
      </c>
      <c r="G258" s="71">
        <v>1</v>
      </c>
      <c r="H258" s="92"/>
      <c r="I258" s="102"/>
      <c r="J258" s="27"/>
      <c r="K258" s="44"/>
      <c r="L258"/>
    </row>
    <row r="259" spans="1:12" ht="18.75" x14ac:dyDescent="0.3">
      <c r="A259" s="31" t="s">
        <v>287</v>
      </c>
      <c r="B259" s="28" t="s">
        <v>294</v>
      </c>
      <c r="C259" s="44"/>
      <c r="D259" s="24"/>
      <c r="E259" s="24"/>
      <c r="F259" s="31" t="s">
        <v>281</v>
      </c>
      <c r="G259" s="72">
        <v>2</v>
      </c>
      <c r="H259" s="92"/>
      <c r="I259" s="101"/>
      <c r="J259" s="27"/>
      <c r="K259" s="44"/>
      <c r="L259"/>
    </row>
    <row r="260" spans="1:12" ht="37.5" x14ac:dyDescent="0.3">
      <c r="A260" s="37" t="s">
        <v>288</v>
      </c>
      <c r="B260" s="35" t="s">
        <v>295</v>
      </c>
      <c r="C260" s="23" t="s">
        <v>272</v>
      </c>
      <c r="D260" s="24"/>
      <c r="E260" s="37" t="s">
        <v>278</v>
      </c>
      <c r="F260" s="37" t="s">
        <v>281</v>
      </c>
      <c r="G260" s="71">
        <v>2</v>
      </c>
      <c r="H260" s="92"/>
      <c r="I260" s="102"/>
      <c r="J260" s="27"/>
      <c r="K260" s="44"/>
      <c r="L260"/>
    </row>
    <row r="261" spans="1:12" ht="37.5" x14ac:dyDescent="0.3">
      <c r="A261" s="37" t="s">
        <v>289</v>
      </c>
      <c r="B261" s="35" t="s">
        <v>296</v>
      </c>
      <c r="C261" s="23" t="s">
        <v>298</v>
      </c>
      <c r="D261" s="24"/>
      <c r="E261" s="37" t="s">
        <v>278</v>
      </c>
      <c r="F261" s="37" t="s">
        <v>281</v>
      </c>
      <c r="G261" s="71">
        <v>1</v>
      </c>
      <c r="H261" s="92"/>
      <c r="I261" s="102"/>
      <c r="J261" s="27"/>
      <c r="K261" s="44"/>
      <c r="L261"/>
    </row>
    <row r="262" spans="1:12" ht="18.75" x14ac:dyDescent="0.2">
      <c r="A262" s="37" t="s">
        <v>290</v>
      </c>
      <c r="B262" s="29" t="s">
        <v>297</v>
      </c>
      <c r="C262" s="23" t="s">
        <v>299</v>
      </c>
      <c r="D262" s="24"/>
      <c r="E262" s="37" t="s">
        <v>278</v>
      </c>
      <c r="F262" s="37" t="s">
        <v>281</v>
      </c>
      <c r="G262" s="71">
        <v>1</v>
      </c>
      <c r="H262" s="92"/>
      <c r="I262" s="102"/>
      <c r="J262" s="27"/>
      <c r="K262" s="23" t="s">
        <v>300</v>
      </c>
      <c r="L262"/>
    </row>
    <row r="263" spans="1:12" x14ac:dyDescent="0.25">
      <c r="A263" s="11"/>
      <c r="B263" s="11"/>
      <c r="C263" s="56"/>
      <c r="D263" s="11"/>
      <c r="E263" s="11"/>
      <c r="F263" s="11"/>
      <c r="G263" s="73"/>
      <c r="H263" s="91"/>
      <c r="I263" s="64"/>
      <c r="J263" s="11"/>
      <c r="K263" s="56"/>
      <c r="L263"/>
    </row>
    <row r="264" spans="1:12" ht="26.25" x14ac:dyDescent="0.2">
      <c r="A264" s="18" t="s">
        <v>301</v>
      </c>
      <c r="B264" s="18"/>
      <c r="C264" s="20"/>
      <c r="D264" s="18"/>
      <c r="E264" s="18"/>
      <c r="F264" s="18"/>
      <c r="G264" s="79"/>
      <c r="H264" s="91"/>
      <c r="I264" s="67"/>
      <c r="J264" s="18"/>
      <c r="K264" s="20"/>
      <c r="L264"/>
    </row>
    <row r="265" spans="1:12" ht="37.5" x14ac:dyDescent="0.3">
      <c r="A265" s="37" t="s">
        <v>239</v>
      </c>
      <c r="B265" s="35" t="s">
        <v>302</v>
      </c>
      <c r="C265" s="23" t="s">
        <v>272</v>
      </c>
      <c r="D265" s="24"/>
      <c r="E265" s="37" t="s">
        <v>278</v>
      </c>
      <c r="F265" s="37" t="s">
        <v>281</v>
      </c>
      <c r="G265" s="71">
        <v>3</v>
      </c>
      <c r="H265" s="92"/>
      <c r="I265" s="102"/>
      <c r="J265" s="27"/>
      <c r="K265" s="44"/>
      <c r="L265"/>
    </row>
    <row r="266" spans="1:12" ht="37.5" x14ac:dyDescent="0.3">
      <c r="A266" s="37" t="s">
        <v>241</v>
      </c>
      <c r="B266" s="35" t="s">
        <v>303</v>
      </c>
      <c r="C266" s="23" t="s">
        <v>272</v>
      </c>
      <c r="D266" s="24"/>
      <c r="E266" s="37" t="s">
        <v>278</v>
      </c>
      <c r="F266" s="37" t="s">
        <v>281</v>
      </c>
      <c r="G266" s="71">
        <v>1</v>
      </c>
      <c r="H266" s="92"/>
      <c r="I266" s="102"/>
      <c r="J266" s="27"/>
      <c r="K266" s="44"/>
      <c r="L266"/>
    </row>
    <row r="267" spans="1:12" ht="37.5" x14ac:dyDescent="0.3">
      <c r="A267" s="37" t="s">
        <v>242</v>
      </c>
      <c r="B267" s="35" t="s">
        <v>304</v>
      </c>
      <c r="C267" s="44"/>
      <c r="D267" s="24"/>
      <c r="E267" s="24"/>
      <c r="F267" s="37" t="s">
        <v>281</v>
      </c>
      <c r="G267" s="71">
        <v>4</v>
      </c>
      <c r="H267" s="92"/>
      <c r="I267" s="102"/>
      <c r="J267" s="27"/>
      <c r="K267" s="44"/>
      <c r="L267"/>
    </row>
    <row r="268" spans="1:12" ht="37.5" x14ac:dyDescent="0.3">
      <c r="A268" s="37" t="s">
        <v>243</v>
      </c>
      <c r="B268" s="35" t="s">
        <v>305</v>
      </c>
      <c r="C268" s="44"/>
      <c r="D268" s="24"/>
      <c r="E268" s="24"/>
      <c r="F268" s="37" t="s">
        <v>281</v>
      </c>
      <c r="G268" s="71">
        <v>16</v>
      </c>
      <c r="H268" s="92"/>
      <c r="I268" s="102"/>
      <c r="J268" s="27"/>
      <c r="K268" s="44"/>
      <c r="L268"/>
    </row>
    <row r="269" spans="1:12" ht="37.5" x14ac:dyDescent="0.3">
      <c r="A269" s="37" t="s">
        <v>244</v>
      </c>
      <c r="B269" s="35" t="s">
        <v>306</v>
      </c>
      <c r="C269" s="23" t="s">
        <v>313</v>
      </c>
      <c r="D269" s="24"/>
      <c r="E269" s="37" t="s">
        <v>278</v>
      </c>
      <c r="F269" s="37" t="s">
        <v>281</v>
      </c>
      <c r="G269" s="71">
        <v>1</v>
      </c>
      <c r="H269" s="92"/>
      <c r="I269" s="102"/>
      <c r="J269" s="27"/>
      <c r="K269" s="44"/>
      <c r="L269"/>
    </row>
    <row r="270" spans="1:12" ht="18.75" x14ac:dyDescent="0.3">
      <c r="A270" s="31" t="s">
        <v>245</v>
      </c>
      <c r="B270" s="28" t="s">
        <v>307</v>
      </c>
      <c r="C270" s="54" t="s">
        <v>314</v>
      </c>
      <c r="D270" s="24"/>
      <c r="E270" s="31" t="s">
        <v>278</v>
      </c>
      <c r="F270" s="31" t="s">
        <v>281</v>
      </c>
      <c r="G270" s="72">
        <v>1</v>
      </c>
      <c r="H270" s="92"/>
      <c r="I270" s="101"/>
      <c r="J270" s="27"/>
      <c r="K270" s="44"/>
      <c r="L270"/>
    </row>
    <row r="271" spans="1:12" ht="37.5" x14ac:dyDescent="0.3">
      <c r="A271" s="37" t="s">
        <v>246</v>
      </c>
      <c r="B271" s="35" t="s">
        <v>308</v>
      </c>
      <c r="C271" s="44"/>
      <c r="D271" s="24"/>
      <c r="E271" s="24"/>
      <c r="F271" s="37" t="s">
        <v>281</v>
      </c>
      <c r="G271" s="71">
        <v>1</v>
      </c>
      <c r="H271" s="92"/>
      <c r="I271" s="102"/>
      <c r="J271" s="27"/>
      <c r="K271" s="44"/>
      <c r="L271"/>
    </row>
    <row r="272" spans="1:12" ht="18.75" x14ac:dyDescent="0.3">
      <c r="A272" s="31" t="s">
        <v>247</v>
      </c>
      <c r="B272" s="28" t="s">
        <v>309</v>
      </c>
      <c r="C272" s="44"/>
      <c r="D272" s="24"/>
      <c r="E272" s="24"/>
      <c r="F272" s="31" t="s">
        <v>281</v>
      </c>
      <c r="G272" s="72">
        <v>2</v>
      </c>
      <c r="H272" s="92"/>
      <c r="I272" s="101"/>
      <c r="J272" s="27"/>
      <c r="K272" s="44"/>
      <c r="L272"/>
    </row>
    <row r="273" spans="1:12" ht="37.5" x14ac:dyDescent="0.3">
      <c r="A273" s="37" t="s">
        <v>248</v>
      </c>
      <c r="B273" s="35" t="s">
        <v>310</v>
      </c>
      <c r="C273" s="44"/>
      <c r="D273" s="24"/>
      <c r="E273" s="24"/>
      <c r="F273" s="37" t="s">
        <v>281</v>
      </c>
      <c r="G273" s="71">
        <v>2</v>
      </c>
      <c r="H273" s="92"/>
      <c r="I273" s="102"/>
      <c r="J273" s="27"/>
      <c r="K273" s="44"/>
      <c r="L273"/>
    </row>
    <row r="274" spans="1:12" ht="18.75" x14ac:dyDescent="0.3">
      <c r="A274" s="31" t="s">
        <v>249</v>
      </c>
      <c r="B274" s="28" t="s">
        <v>268</v>
      </c>
      <c r="C274" s="44"/>
      <c r="D274" s="24"/>
      <c r="E274" s="24"/>
      <c r="F274" s="31" t="s">
        <v>281</v>
      </c>
      <c r="G274" s="72">
        <v>1</v>
      </c>
      <c r="H274" s="92"/>
      <c r="I274" s="101"/>
      <c r="J274" s="27"/>
      <c r="K274" s="44"/>
      <c r="L274"/>
    </row>
    <row r="275" spans="1:12" ht="18.75" x14ac:dyDescent="0.3">
      <c r="A275" s="31" t="s">
        <v>250</v>
      </c>
      <c r="B275" s="28" t="s">
        <v>311</v>
      </c>
      <c r="C275" s="54" t="s">
        <v>315</v>
      </c>
      <c r="D275" s="24"/>
      <c r="E275" s="31" t="s">
        <v>278</v>
      </c>
      <c r="F275" s="31" t="s">
        <v>281</v>
      </c>
      <c r="G275" s="72">
        <v>2</v>
      </c>
      <c r="H275" s="92"/>
      <c r="I275" s="101"/>
      <c r="J275" s="27"/>
      <c r="K275" s="44"/>
      <c r="L275"/>
    </row>
    <row r="276" spans="1:12" ht="37.5" x14ac:dyDescent="0.2">
      <c r="A276" s="37" t="s">
        <v>251</v>
      </c>
      <c r="B276" s="44" t="s">
        <v>312</v>
      </c>
      <c r="C276" s="44"/>
      <c r="D276" s="24"/>
      <c r="E276" s="24"/>
      <c r="F276" s="37" t="s">
        <v>281</v>
      </c>
      <c r="G276" s="71">
        <v>10</v>
      </c>
      <c r="H276" s="92"/>
      <c r="I276" s="102"/>
      <c r="J276" s="27"/>
      <c r="K276" s="44"/>
      <c r="L276"/>
    </row>
    <row r="277" spans="1:12" x14ac:dyDescent="0.25">
      <c r="A277" s="30"/>
      <c r="B277" s="30"/>
      <c r="C277" s="53"/>
      <c r="D277" s="30"/>
      <c r="E277" s="30"/>
      <c r="F277" s="30"/>
      <c r="G277" s="72"/>
      <c r="H277" s="92"/>
      <c r="I277" s="63"/>
      <c r="J277" s="30"/>
      <c r="K277" s="53"/>
      <c r="L277"/>
    </row>
    <row r="278" spans="1:12" ht="26.25" x14ac:dyDescent="0.2">
      <c r="A278" s="27"/>
      <c r="B278" s="52" t="s">
        <v>323</v>
      </c>
      <c r="C278" s="59"/>
      <c r="D278" s="38" t="s">
        <v>349</v>
      </c>
      <c r="E278" s="24"/>
      <c r="F278" s="27"/>
      <c r="G278" s="71"/>
      <c r="H278" s="92"/>
      <c r="I278" s="62"/>
      <c r="J278" s="27"/>
      <c r="K278" s="44"/>
      <c r="L278" s="1"/>
    </row>
    <row r="279" spans="1:12" ht="37.5" x14ac:dyDescent="0.3">
      <c r="A279" s="37" t="s">
        <v>252</v>
      </c>
      <c r="B279" s="35" t="s">
        <v>324</v>
      </c>
      <c r="C279" s="44"/>
      <c r="D279" s="29"/>
      <c r="E279" s="24"/>
      <c r="F279" s="37" t="s">
        <v>281</v>
      </c>
      <c r="G279" s="71">
        <v>3</v>
      </c>
      <c r="H279" s="92"/>
      <c r="I279" s="102"/>
      <c r="J279" s="27"/>
      <c r="K279" s="44"/>
      <c r="L279" s="1"/>
    </row>
    <row r="280" spans="1:12" ht="18.75" x14ac:dyDescent="0.3">
      <c r="A280" s="31" t="s">
        <v>253</v>
      </c>
      <c r="B280" s="28" t="s">
        <v>325</v>
      </c>
      <c r="C280" s="54" t="s">
        <v>315</v>
      </c>
      <c r="D280" s="29"/>
      <c r="E280" s="31" t="s">
        <v>278</v>
      </c>
      <c r="F280" s="31" t="s">
        <v>281</v>
      </c>
      <c r="G280" s="72">
        <v>5</v>
      </c>
      <c r="H280" s="92"/>
      <c r="I280" s="101"/>
      <c r="J280" s="27"/>
      <c r="K280" s="44"/>
      <c r="L280" s="1"/>
    </row>
    <row r="281" spans="1:12" ht="37.5" x14ac:dyDescent="0.3">
      <c r="A281" s="37" t="s">
        <v>254</v>
      </c>
      <c r="B281" s="35" t="s">
        <v>326</v>
      </c>
      <c r="C281" s="44"/>
      <c r="D281" s="29"/>
      <c r="E281" s="24"/>
      <c r="F281" s="37" t="s">
        <v>281</v>
      </c>
      <c r="G281" s="71">
        <v>2</v>
      </c>
      <c r="H281" s="92"/>
      <c r="I281" s="102"/>
      <c r="J281" s="27"/>
      <c r="K281" s="44"/>
      <c r="L281" s="1"/>
    </row>
    <row r="282" spans="1:12" ht="31.5" x14ac:dyDescent="0.3">
      <c r="A282" s="31" t="s">
        <v>284</v>
      </c>
      <c r="B282" s="28" t="s">
        <v>327</v>
      </c>
      <c r="C282" s="54" t="s">
        <v>341</v>
      </c>
      <c r="D282" s="29"/>
      <c r="E282" s="31" t="s">
        <v>278</v>
      </c>
      <c r="F282" s="31" t="s">
        <v>281</v>
      </c>
      <c r="G282" s="72">
        <v>1</v>
      </c>
      <c r="H282" s="92"/>
      <c r="I282" s="101"/>
      <c r="J282" s="31" t="s">
        <v>350</v>
      </c>
      <c r="K282" s="54" t="s">
        <v>351</v>
      </c>
      <c r="L282" s="2" t="s">
        <v>352</v>
      </c>
    </row>
    <row r="283" spans="1:12" ht="37.5" x14ac:dyDescent="0.3">
      <c r="A283" s="37" t="s">
        <v>285</v>
      </c>
      <c r="B283" s="35" t="s">
        <v>328</v>
      </c>
      <c r="C283" s="23" t="s">
        <v>342</v>
      </c>
      <c r="D283" s="29"/>
      <c r="E283" s="37" t="s">
        <v>278</v>
      </c>
      <c r="F283" s="37" t="s">
        <v>281</v>
      </c>
      <c r="G283" s="71">
        <v>2</v>
      </c>
      <c r="H283" s="92"/>
      <c r="I283" s="102"/>
      <c r="J283" s="27"/>
      <c r="K283" s="44"/>
      <c r="L283" s="1"/>
    </row>
    <row r="284" spans="1:12" ht="18.75" x14ac:dyDescent="0.3">
      <c r="A284" s="31" t="s">
        <v>286</v>
      </c>
      <c r="B284" s="28" t="s">
        <v>329</v>
      </c>
      <c r="C284" s="54" t="s">
        <v>315</v>
      </c>
      <c r="D284" s="29"/>
      <c r="E284" s="31" t="s">
        <v>278</v>
      </c>
      <c r="F284" s="31" t="s">
        <v>281</v>
      </c>
      <c r="G284" s="72">
        <v>5</v>
      </c>
      <c r="H284" s="92"/>
      <c r="I284" s="101"/>
      <c r="J284" s="27"/>
      <c r="K284" s="44"/>
      <c r="L284" s="1"/>
    </row>
    <row r="285" spans="1:12" ht="18.75" x14ac:dyDescent="0.3">
      <c r="A285" s="31" t="s">
        <v>287</v>
      </c>
      <c r="B285" s="28" t="s">
        <v>330</v>
      </c>
      <c r="C285" s="54" t="s">
        <v>343</v>
      </c>
      <c r="D285" s="29"/>
      <c r="E285" s="31" t="s">
        <v>278</v>
      </c>
      <c r="F285" s="31" t="s">
        <v>281</v>
      </c>
      <c r="G285" s="72">
        <v>2</v>
      </c>
      <c r="H285" s="92"/>
      <c r="I285" s="101"/>
      <c r="J285" s="27"/>
      <c r="K285" s="44"/>
      <c r="L285" s="1"/>
    </row>
    <row r="286" spans="1:12" ht="18.75" x14ac:dyDescent="0.3">
      <c r="A286" s="31" t="s">
        <v>288</v>
      </c>
      <c r="B286" s="28" t="s">
        <v>331</v>
      </c>
      <c r="C286" s="54" t="s">
        <v>344</v>
      </c>
      <c r="D286" s="29"/>
      <c r="E286" s="31" t="s">
        <v>278</v>
      </c>
      <c r="F286" s="31" t="s">
        <v>281</v>
      </c>
      <c r="G286" s="72">
        <v>2</v>
      </c>
      <c r="H286" s="92"/>
      <c r="I286" s="101"/>
      <c r="J286" s="27"/>
      <c r="K286" s="44"/>
      <c r="L286" s="1"/>
    </row>
    <row r="287" spans="1:12" ht="18.75" x14ac:dyDescent="0.3">
      <c r="A287" s="31" t="s">
        <v>289</v>
      </c>
      <c r="B287" s="28" t="s">
        <v>332</v>
      </c>
      <c r="C287" s="54" t="s">
        <v>345</v>
      </c>
      <c r="D287" s="29"/>
      <c r="E287" s="31" t="s">
        <v>278</v>
      </c>
      <c r="F287" s="31" t="s">
        <v>281</v>
      </c>
      <c r="G287" s="72">
        <v>2</v>
      </c>
      <c r="H287" s="92"/>
      <c r="I287" s="101"/>
      <c r="J287" s="27"/>
      <c r="K287" s="44"/>
      <c r="L287" s="1"/>
    </row>
    <row r="288" spans="1:12" ht="18.75" x14ac:dyDescent="0.3">
      <c r="A288" s="31" t="s">
        <v>290</v>
      </c>
      <c r="B288" s="28" t="s">
        <v>333</v>
      </c>
      <c r="C288" s="54" t="s">
        <v>346</v>
      </c>
      <c r="D288" s="29"/>
      <c r="E288" s="24"/>
      <c r="F288" s="31" t="s">
        <v>281</v>
      </c>
      <c r="G288" s="72">
        <v>1</v>
      </c>
      <c r="H288" s="92"/>
      <c r="I288" s="101"/>
      <c r="J288" s="27"/>
      <c r="K288" s="44"/>
      <c r="L288" s="1"/>
    </row>
    <row r="289" spans="1:12" ht="18.75" x14ac:dyDescent="0.3">
      <c r="A289" s="31" t="s">
        <v>316</v>
      </c>
      <c r="B289" s="28" t="s">
        <v>334</v>
      </c>
      <c r="C289" s="54" t="s">
        <v>315</v>
      </c>
      <c r="D289" s="29"/>
      <c r="E289" s="31" t="s">
        <v>278</v>
      </c>
      <c r="F289" s="31" t="s">
        <v>281</v>
      </c>
      <c r="G289" s="72">
        <v>1</v>
      </c>
      <c r="H289" s="92"/>
      <c r="I289" s="101"/>
      <c r="J289" s="27"/>
      <c r="K289" s="44"/>
      <c r="L289" s="1"/>
    </row>
    <row r="290" spans="1:12" ht="18.75" x14ac:dyDescent="0.3">
      <c r="A290" s="31" t="s">
        <v>317</v>
      </c>
      <c r="B290" s="28" t="s">
        <v>335</v>
      </c>
      <c r="C290" s="54" t="s">
        <v>343</v>
      </c>
      <c r="D290" s="29"/>
      <c r="E290" s="31" t="s">
        <v>278</v>
      </c>
      <c r="F290" s="31" t="s">
        <v>281</v>
      </c>
      <c r="G290" s="72">
        <v>1</v>
      </c>
      <c r="H290" s="92"/>
      <c r="I290" s="101"/>
      <c r="J290" s="27"/>
      <c r="K290" s="44"/>
      <c r="L290" s="1"/>
    </row>
    <row r="291" spans="1:12" ht="18.75" x14ac:dyDescent="0.3">
      <c r="A291" s="31" t="s">
        <v>318</v>
      </c>
      <c r="B291" s="28" t="s">
        <v>336</v>
      </c>
      <c r="C291" s="54" t="s">
        <v>347</v>
      </c>
      <c r="D291" s="29"/>
      <c r="E291" s="31" t="s">
        <v>278</v>
      </c>
      <c r="F291" s="31" t="s">
        <v>281</v>
      </c>
      <c r="G291" s="72">
        <v>1</v>
      </c>
      <c r="H291" s="92"/>
      <c r="I291" s="101"/>
      <c r="J291" s="27"/>
      <c r="K291" s="44"/>
      <c r="L291" s="1"/>
    </row>
    <row r="292" spans="1:12" ht="18.75" x14ac:dyDescent="0.3">
      <c r="A292" s="31" t="s">
        <v>319</v>
      </c>
      <c r="B292" s="28" t="s">
        <v>337</v>
      </c>
      <c r="C292" s="54" t="s">
        <v>315</v>
      </c>
      <c r="D292" s="29"/>
      <c r="E292" s="31" t="s">
        <v>278</v>
      </c>
      <c r="F292" s="31" t="s">
        <v>281</v>
      </c>
      <c r="G292" s="72">
        <v>2</v>
      </c>
      <c r="H292" s="92"/>
      <c r="I292" s="101"/>
      <c r="J292" s="27"/>
      <c r="K292" s="44"/>
      <c r="L292" s="1"/>
    </row>
    <row r="293" spans="1:12" ht="37.5" x14ac:dyDescent="0.3">
      <c r="A293" s="31" t="s">
        <v>320</v>
      </c>
      <c r="B293" s="28" t="s">
        <v>338</v>
      </c>
      <c r="C293" s="54" t="s">
        <v>348</v>
      </c>
      <c r="D293" s="29"/>
      <c r="E293" s="24"/>
      <c r="F293" s="31" t="s">
        <v>281</v>
      </c>
      <c r="G293" s="72">
        <v>1</v>
      </c>
      <c r="H293" s="92"/>
      <c r="I293" s="101"/>
      <c r="J293" s="27"/>
      <c r="K293" s="44"/>
      <c r="L293" s="1"/>
    </row>
    <row r="294" spans="1:12" ht="37.5" x14ac:dyDescent="0.3">
      <c r="A294" s="37" t="s">
        <v>321</v>
      </c>
      <c r="B294" s="35" t="s">
        <v>339</v>
      </c>
      <c r="C294" s="44"/>
      <c r="D294" s="29"/>
      <c r="E294" s="24"/>
      <c r="F294" s="37" t="s">
        <v>281</v>
      </c>
      <c r="G294" s="71">
        <v>1</v>
      </c>
      <c r="H294" s="92"/>
      <c r="I294" s="102"/>
      <c r="J294" s="27"/>
      <c r="K294" s="44"/>
      <c r="L294" s="1"/>
    </row>
    <row r="295" spans="1:12" ht="18.75" x14ac:dyDescent="0.2">
      <c r="A295" s="37" t="s">
        <v>322</v>
      </c>
      <c r="B295" s="29" t="s">
        <v>340</v>
      </c>
      <c r="C295" s="23" t="s">
        <v>347</v>
      </c>
      <c r="D295" s="29"/>
      <c r="E295" s="37" t="s">
        <v>278</v>
      </c>
      <c r="F295" s="37" t="s">
        <v>281</v>
      </c>
      <c r="G295" s="71">
        <v>1</v>
      </c>
      <c r="H295" s="92"/>
      <c r="I295" s="102"/>
      <c r="J295" s="27"/>
      <c r="K295" s="44"/>
      <c r="L295" s="1"/>
    </row>
    <row r="296" spans="1:12" x14ac:dyDescent="0.25">
      <c r="A296" s="11"/>
      <c r="B296" s="11"/>
      <c r="C296" s="56"/>
      <c r="D296" s="11"/>
      <c r="E296" s="11"/>
      <c r="F296" s="11"/>
      <c r="G296" s="73"/>
      <c r="H296" s="91"/>
      <c r="I296" s="64"/>
      <c r="J296" s="11"/>
      <c r="K296" s="56"/>
      <c r="L296"/>
    </row>
    <row r="297" spans="1:12" ht="26.25" x14ac:dyDescent="0.2">
      <c r="A297" s="18" t="s">
        <v>353</v>
      </c>
      <c r="B297" s="18"/>
      <c r="C297" s="20"/>
      <c r="D297" s="18"/>
      <c r="E297" s="18"/>
      <c r="F297" s="18"/>
      <c r="G297" s="79"/>
      <c r="H297" s="91"/>
      <c r="I297" s="67"/>
      <c r="J297" s="18"/>
      <c r="K297" s="20"/>
      <c r="L297"/>
    </row>
    <row r="298" spans="1:12" ht="37.5" x14ac:dyDescent="0.3">
      <c r="A298" s="37" t="s">
        <v>239</v>
      </c>
      <c r="B298" s="35" t="s">
        <v>354</v>
      </c>
      <c r="C298" s="23" t="s">
        <v>272</v>
      </c>
      <c r="D298" s="24"/>
      <c r="E298" s="37" t="s">
        <v>278</v>
      </c>
      <c r="F298" s="37" t="s">
        <v>281</v>
      </c>
      <c r="G298" s="71">
        <v>6</v>
      </c>
      <c r="H298" s="92"/>
      <c r="I298" s="102"/>
      <c r="J298" s="27"/>
      <c r="K298" s="44"/>
      <c r="L298"/>
    </row>
    <row r="299" spans="1:12" ht="37.5" x14ac:dyDescent="0.3">
      <c r="A299" s="37" t="s">
        <v>241</v>
      </c>
      <c r="B299" s="35" t="s">
        <v>355</v>
      </c>
      <c r="C299" s="44"/>
      <c r="D299" s="24"/>
      <c r="E299" s="24"/>
      <c r="F299" s="37" t="s">
        <v>281</v>
      </c>
      <c r="G299" s="71">
        <v>7</v>
      </c>
      <c r="H299" s="92"/>
      <c r="I299" s="102"/>
      <c r="J299" s="27"/>
      <c r="K299" s="44"/>
      <c r="L299"/>
    </row>
    <row r="300" spans="1:12" ht="37.5" x14ac:dyDescent="0.3">
      <c r="A300" s="37" t="s">
        <v>242</v>
      </c>
      <c r="B300" s="35" t="s">
        <v>356</v>
      </c>
      <c r="C300" s="44"/>
      <c r="D300" s="24"/>
      <c r="E300" s="24"/>
      <c r="F300" s="37" t="s">
        <v>281</v>
      </c>
      <c r="G300" s="71">
        <v>21</v>
      </c>
      <c r="H300" s="92"/>
      <c r="I300" s="102"/>
      <c r="J300" s="27"/>
      <c r="K300" s="44"/>
      <c r="L300"/>
    </row>
    <row r="301" spans="1:12" ht="37.5" x14ac:dyDescent="0.3">
      <c r="A301" s="37" t="s">
        <v>243</v>
      </c>
      <c r="B301" s="35" t="s">
        <v>357</v>
      </c>
      <c r="C301" s="44"/>
      <c r="D301" s="24"/>
      <c r="E301" s="24"/>
      <c r="F301" s="37" t="s">
        <v>281</v>
      </c>
      <c r="G301" s="71">
        <v>6</v>
      </c>
      <c r="H301" s="92"/>
      <c r="I301" s="102"/>
      <c r="J301" s="27"/>
      <c r="K301" s="44"/>
      <c r="L301"/>
    </row>
    <row r="302" spans="1:12" ht="37.5" x14ac:dyDescent="0.3">
      <c r="A302" s="37" t="s">
        <v>244</v>
      </c>
      <c r="B302" s="35" t="s">
        <v>358</v>
      </c>
      <c r="C302" s="23" t="s">
        <v>313</v>
      </c>
      <c r="D302" s="24"/>
      <c r="E302" s="37" t="s">
        <v>278</v>
      </c>
      <c r="F302" s="37" t="s">
        <v>281</v>
      </c>
      <c r="G302" s="71">
        <v>1</v>
      </c>
      <c r="H302" s="92"/>
      <c r="I302" s="102"/>
      <c r="J302" s="27"/>
      <c r="K302" s="44"/>
      <c r="L302"/>
    </row>
    <row r="303" spans="1:12" ht="18.75" x14ac:dyDescent="0.3">
      <c r="A303" s="31" t="s">
        <v>245</v>
      </c>
      <c r="B303" s="28" t="s">
        <v>359</v>
      </c>
      <c r="C303" s="54" t="s">
        <v>314</v>
      </c>
      <c r="D303" s="24"/>
      <c r="E303" s="31" t="s">
        <v>278</v>
      </c>
      <c r="F303" s="31" t="s">
        <v>281</v>
      </c>
      <c r="G303" s="72">
        <v>1</v>
      </c>
      <c r="H303" s="92"/>
      <c r="I303" s="101"/>
      <c r="J303" s="27"/>
      <c r="K303" s="44"/>
      <c r="L303"/>
    </row>
    <row r="304" spans="1:12" ht="18.75" x14ac:dyDescent="0.3">
      <c r="A304" s="31" t="s">
        <v>246</v>
      </c>
      <c r="B304" s="28" t="s">
        <v>309</v>
      </c>
      <c r="C304" s="44"/>
      <c r="D304" s="24"/>
      <c r="E304" s="24"/>
      <c r="F304" s="31" t="s">
        <v>281</v>
      </c>
      <c r="G304" s="72">
        <v>2</v>
      </c>
      <c r="H304" s="92"/>
      <c r="I304" s="101"/>
      <c r="J304" s="27"/>
      <c r="K304" s="44"/>
      <c r="L304"/>
    </row>
    <row r="305" spans="1:12" ht="18.75" x14ac:dyDescent="0.3">
      <c r="A305" s="31" t="s">
        <v>247</v>
      </c>
      <c r="B305" s="28" t="s">
        <v>360</v>
      </c>
      <c r="C305" s="54" t="s">
        <v>366</v>
      </c>
      <c r="D305" s="24"/>
      <c r="E305" s="31" t="s">
        <v>278</v>
      </c>
      <c r="F305" s="31" t="s">
        <v>281</v>
      </c>
      <c r="G305" s="72">
        <v>2</v>
      </c>
      <c r="H305" s="92"/>
      <c r="I305" s="101"/>
      <c r="J305" s="27"/>
      <c r="K305" s="44"/>
      <c r="L305"/>
    </row>
    <row r="306" spans="1:12" ht="18.75" x14ac:dyDescent="0.3">
      <c r="A306" s="31" t="s">
        <v>248</v>
      </c>
      <c r="B306" s="28" t="s">
        <v>361</v>
      </c>
      <c r="C306" s="54" t="s">
        <v>315</v>
      </c>
      <c r="D306" s="24"/>
      <c r="E306" s="31" t="s">
        <v>278</v>
      </c>
      <c r="F306" s="31" t="s">
        <v>281</v>
      </c>
      <c r="G306" s="72">
        <v>2</v>
      </c>
      <c r="H306" s="92"/>
      <c r="I306" s="101"/>
      <c r="J306" s="27"/>
      <c r="K306" s="44"/>
      <c r="L306"/>
    </row>
    <row r="307" spans="1:12" ht="37.5" x14ac:dyDescent="0.3">
      <c r="A307" s="37" t="s">
        <v>249</v>
      </c>
      <c r="B307" s="35" t="s">
        <v>362</v>
      </c>
      <c r="C307" s="44"/>
      <c r="D307" s="24"/>
      <c r="E307" s="24"/>
      <c r="F307" s="37" t="s">
        <v>281</v>
      </c>
      <c r="G307" s="71">
        <v>12</v>
      </c>
      <c r="H307" s="92"/>
      <c r="I307" s="102"/>
      <c r="J307" s="27"/>
      <c r="K307" s="44"/>
      <c r="L307"/>
    </row>
    <row r="308" spans="1:12" ht="37.5" x14ac:dyDescent="0.3">
      <c r="A308" s="37" t="s">
        <v>250</v>
      </c>
      <c r="B308" s="35" t="s">
        <v>363</v>
      </c>
      <c r="C308" s="44"/>
      <c r="D308" s="24"/>
      <c r="E308" s="24"/>
      <c r="F308" s="37" t="s">
        <v>281</v>
      </c>
      <c r="G308" s="71">
        <v>5</v>
      </c>
      <c r="H308" s="92"/>
      <c r="I308" s="102"/>
      <c r="J308" s="27"/>
      <c r="K308" s="44"/>
      <c r="L308"/>
    </row>
    <row r="309" spans="1:12" ht="18.75" x14ac:dyDescent="0.3">
      <c r="A309" s="31" t="s">
        <v>251</v>
      </c>
      <c r="B309" s="28" t="s">
        <v>364</v>
      </c>
      <c r="C309" s="54" t="s">
        <v>367</v>
      </c>
      <c r="D309" s="24"/>
      <c r="E309" s="31" t="s">
        <v>278</v>
      </c>
      <c r="F309" s="31" t="s">
        <v>281</v>
      </c>
      <c r="G309" s="72">
        <v>10</v>
      </c>
      <c r="H309" s="92"/>
      <c r="I309" s="101"/>
      <c r="J309" s="27"/>
      <c r="K309" s="44"/>
      <c r="L309"/>
    </row>
    <row r="310" spans="1:12" ht="18.75" x14ac:dyDescent="0.3">
      <c r="A310" s="31" t="s">
        <v>252</v>
      </c>
      <c r="B310" s="28" t="s">
        <v>365</v>
      </c>
      <c r="C310" s="54" t="s">
        <v>315</v>
      </c>
      <c r="D310" s="24"/>
      <c r="E310" s="31" t="s">
        <v>278</v>
      </c>
      <c r="F310" s="31" t="s">
        <v>281</v>
      </c>
      <c r="G310" s="72">
        <v>2</v>
      </c>
      <c r="H310" s="92"/>
      <c r="I310" s="101"/>
      <c r="J310" s="27"/>
      <c r="K310" s="44"/>
      <c r="L310"/>
    </row>
    <row r="311" spans="1:12" x14ac:dyDescent="0.25">
      <c r="A311" s="30"/>
      <c r="B311" s="30"/>
      <c r="C311" s="53"/>
      <c r="D311" s="30"/>
      <c r="E311" s="30"/>
      <c r="F311" s="30"/>
      <c r="G311" s="72"/>
      <c r="H311" s="92"/>
      <c r="I311" s="63"/>
      <c r="J311" s="30"/>
      <c r="K311" s="53"/>
      <c r="L311"/>
    </row>
    <row r="312" spans="1:12" ht="26.25" x14ac:dyDescent="0.2">
      <c r="A312" s="51" t="s">
        <v>353</v>
      </c>
      <c r="B312" s="51"/>
      <c r="C312" s="44"/>
      <c r="D312" s="51"/>
      <c r="E312" s="51"/>
      <c r="F312" s="51"/>
      <c r="G312" s="80"/>
      <c r="H312" s="92"/>
      <c r="I312" s="68"/>
      <c r="J312" s="51"/>
      <c r="K312" s="44"/>
      <c r="L312"/>
    </row>
    <row r="313" spans="1:12" ht="31.5" x14ac:dyDescent="0.3">
      <c r="A313" s="31" t="s">
        <v>253</v>
      </c>
      <c r="B313" s="28" t="s">
        <v>368</v>
      </c>
      <c r="C313" s="54" t="s">
        <v>384</v>
      </c>
      <c r="D313" s="24"/>
      <c r="E313" s="31" t="s">
        <v>278</v>
      </c>
      <c r="F313" s="31" t="s">
        <v>281</v>
      </c>
      <c r="G313" s="72">
        <v>2</v>
      </c>
      <c r="H313" s="92"/>
      <c r="I313" s="101"/>
      <c r="J313" s="27"/>
      <c r="K313" s="54" t="s">
        <v>391</v>
      </c>
      <c r="L313"/>
    </row>
    <row r="314" spans="1:12" ht="18.75" x14ac:dyDescent="0.3">
      <c r="A314" s="31" t="s">
        <v>254</v>
      </c>
      <c r="B314" s="28" t="s">
        <v>369</v>
      </c>
      <c r="C314" s="54" t="s">
        <v>385</v>
      </c>
      <c r="D314" s="24"/>
      <c r="E314" s="24"/>
      <c r="F314" s="31" t="s">
        <v>281</v>
      </c>
      <c r="G314" s="72">
        <v>2</v>
      </c>
      <c r="H314" s="92"/>
      <c r="I314" s="101"/>
      <c r="J314" s="27"/>
      <c r="K314" s="44"/>
      <c r="L314"/>
    </row>
    <row r="315" spans="1:12" ht="37.5" x14ac:dyDescent="0.3">
      <c r="A315" s="37" t="s">
        <v>284</v>
      </c>
      <c r="B315" s="35" t="s">
        <v>370</v>
      </c>
      <c r="C315" s="23" t="s">
        <v>342</v>
      </c>
      <c r="D315" s="24"/>
      <c r="E315" s="37" t="s">
        <v>278</v>
      </c>
      <c r="F315" s="37" t="s">
        <v>281</v>
      </c>
      <c r="G315" s="71">
        <v>2</v>
      </c>
      <c r="H315" s="92"/>
      <c r="I315" s="102"/>
      <c r="J315" s="27"/>
      <c r="K315" s="44"/>
      <c r="L315"/>
    </row>
    <row r="316" spans="1:12" ht="18.75" x14ac:dyDescent="0.3">
      <c r="A316" s="31" t="s">
        <v>285</v>
      </c>
      <c r="B316" s="28" t="s">
        <v>371</v>
      </c>
      <c r="C316" s="54" t="s">
        <v>315</v>
      </c>
      <c r="D316" s="24"/>
      <c r="E316" s="31" t="s">
        <v>278</v>
      </c>
      <c r="F316" s="31" t="s">
        <v>281</v>
      </c>
      <c r="G316" s="72">
        <v>4</v>
      </c>
      <c r="H316" s="92"/>
      <c r="I316" s="101"/>
      <c r="J316" s="27"/>
      <c r="K316" s="44"/>
      <c r="L316"/>
    </row>
    <row r="317" spans="1:12" ht="18.75" x14ac:dyDescent="0.3">
      <c r="A317" s="31" t="s">
        <v>286</v>
      </c>
      <c r="B317" s="28" t="s">
        <v>372</v>
      </c>
      <c r="C317" s="54" t="s">
        <v>386</v>
      </c>
      <c r="D317" s="24"/>
      <c r="E317" s="31" t="s">
        <v>278</v>
      </c>
      <c r="F317" s="31" t="s">
        <v>281</v>
      </c>
      <c r="G317" s="72">
        <v>2</v>
      </c>
      <c r="H317" s="92"/>
      <c r="I317" s="101"/>
      <c r="J317" s="27"/>
      <c r="K317" s="44"/>
      <c r="L317"/>
    </row>
    <row r="318" spans="1:12" ht="18.75" x14ac:dyDescent="0.3">
      <c r="A318" s="31" t="s">
        <v>287</v>
      </c>
      <c r="B318" s="28" t="s">
        <v>373</v>
      </c>
      <c r="C318" s="54" t="s">
        <v>344</v>
      </c>
      <c r="D318" s="24"/>
      <c r="E318" s="31" t="s">
        <v>278</v>
      </c>
      <c r="F318" s="31" t="s">
        <v>281</v>
      </c>
      <c r="G318" s="72">
        <v>2</v>
      </c>
      <c r="H318" s="92"/>
      <c r="I318" s="101"/>
      <c r="J318" s="27"/>
      <c r="K318" s="44"/>
      <c r="L318"/>
    </row>
    <row r="319" spans="1:12" ht="18.75" x14ac:dyDescent="0.3">
      <c r="A319" s="31" t="s">
        <v>288</v>
      </c>
      <c r="B319" s="28" t="s">
        <v>374</v>
      </c>
      <c r="C319" s="54" t="s">
        <v>345</v>
      </c>
      <c r="D319" s="24"/>
      <c r="E319" s="31" t="s">
        <v>278</v>
      </c>
      <c r="F319" s="31" t="s">
        <v>281</v>
      </c>
      <c r="G319" s="72">
        <v>2</v>
      </c>
      <c r="H319" s="92"/>
      <c r="I319" s="101"/>
      <c r="J319" s="27"/>
      <c r="K319" s="44"/>
      <c r="L319"/>
    </row>
    <row r="320" spans="1:12" ht="18.75" x14ac:dyDescent="0.3">
      <c r="A320" s="31" t="s">
        <v>289</v>
      </c>
      <c r="B320" s="28" t="s">
        <v>375</v>
      </c>
      <c r="C320" s="54" t="s">
        <v>315</v>
      </c>
      <c r="D320" s="24"/>
      <c r="E320" s="31" t="s">
        <v>278</v>
      </c>
      <c r="F320" s="31" t="s">
        <v>281</v>
      </c>
      <c r="G320" s="72">
        <v>2</v>
      </c>
      <c r="H320" s="92"/>
      <c r="I320" s="101"/>
      <c r="J320" s="27"/>
      <c r="K320" s="44"/>
      <c r="L320"/>
    </row>
    <row r="321" spans="1:12" ht="18.75" x14ac:dyDescent="0.3">
      <c r="A321" s="31" t="s">
        <v>290</v>
      </c>
      <c r="B321" s="28" t="s">
        <v>376</v>
      </c>
      <c r="C321" s="54" t="s">
        <v>343</v>
      </c>
      <c r="D321" s="24"/>
      <c r="E321" s="31" t="s">
        <v>278</v>
      </c>
      <c r="F321" s="31" t="s">
        <v>281</v>
      </c>
      <c r="G321" s="72">
        <v>1</v>
      </c>
      <c r="H321" s="92"/>
      <c r="I321" s="101"/>
      <c r="J321" s="27"/>
      <c r="K321" s="44"/>
      <c r="L321"/>
    </row>
    <row r="322" spans="1:12" ht="18.75" x14ac:dyDescent="0.3">
      <c r="A322" s="31" t="s">
        <v>316</v>
      </c>
      <c r="B322" s="28" t="s">
        <v>377</v>
      </c>
      <c r="C322" s="54" t="s">
        <v>315</v>
      </c>
      <c r="D322" s="24"/>
      <c r="E322" s="31" t="s">
        <v>278</v>
      </c>
      <c r="F322" s="31" t="s">
        <v>281</v>
      </c>
      <c r="G322" s="72">
        <v>1</v>
      </c>
      <c r="H322" s="92"/>
      <c r="I322" s="101"/>
      <c r="J322" s="27"/>
      <c r="K322" s="44"/>
      <c r="L322"/>
    </row>
    <row r="323" spans="1:12" ht="37.5" x14ac:dyDescent="0.3">
      <c r="A323" s="37" t="s">
        <v>317</v>
      </c>
      <c r="B323" s="35" t="s">
        <v>378</v>
      </c>
      <c r="C323" s="23" t="s">
        <v>387</v>
      </c>
      <c r="D323" s="24"/>
      <c r="E323" s="37" t="s">
        <v>278</v>
      </c>
      <c r="F323" s="37" t="s">
        <v>281</v>
      </c>
      <c r="G323" s="71">
        <v>1</v>
      </c>
      <c r="H323" s="92"/>
      <c r="I323" s="102"/>
      <c r="J323" s="27"/>
      <c r="K323" s="44"/>
      <c r="L323"/>
    </row>
    <row r="324" spans="1:12" ht="37.5" x14ac:dyDescent="0.3">
      <c r="A324" s="37" t="s">
        <v>318</v>
      </c>
      <c r="B324" s="35" t="s">
        <v>379</v>
      </c>
      <c r="C324" s="23" t="s">
        <v>388</v>
      </c>
      <c r="D324" s="24"/>
      <c r="E324" s="37" t="s">
        <v>278</v>
      </c>
      <c r="F324" s="37" t="s">
        <v>281</v>
      </c>
      <c r="G324" s="71">
        <v>1</v>
      </c>
      <c r="H324" s="92"/>
      <c r="I324" s="102"/>
      <c r="J324" s="27"/>
      <c r="K324" s="44"/>
      <c r="L324"/>
    </row>
    <row r="325" spans="1:12" ht="18.75" x14ac:dyDescent="0.3">
      <c r="A325" s="31" t="s">
        <v>319</v>
      </c>
      <c r="B325" s="28" t="s">
        <v>380</v>
      </c>
      <c r="C325" s="44"/>
      <c r="D325" s="24"/>
      <c r="E325" s="24"/>
      <c r="F325" s="31" t="s">
        <v>281</v>
      </c>
      <c r="G325" s="72">
        <v>1</v>
      </c>
      <c r="H325" s="92"/>
      <c r="I325" s="101"/>
      <c r="J325" s="27"/>
      <c r="K325" s="44"/>
      <c r="L325"/>
    </row>
    <row r="326" spans="1:12" ht="18.75" x14ac:dyDescent="0.3">
      <c r="A326" s="31" t="s">
        <v>320</v>
      </c>
      <c r="B326" s="28" t="s">
        <v>381</v>
      </c>
      <c r="C326" s="54" t="s">
        <v>346</v>
      </c>
      <c r="D326" s="24"/>
      <c r="E326" s="24"/>
      <c r="F326" s="31" t="s">
        <v>281</v>
      </c>
      <c r="G326" s="72">
        <v>1</v>
      </c>
      <c r="H326" s="92"/>
      <c r="I326" s="101"/>
      <c r="J326" s="27"/>
      <c r="K326" s="44"/>
      <c r="L326"/>
    </row>
    <row r="327" spans="1:12" ht="37.5" x14ac:dyDescent="0.3">
      <c r="A327" s="37" t="s">
        <v>321</v>
      </c>
      <c r="B327" s="35" t="s">
        <v>382</v>
      </c>
      <c r="C327" s="23" t="s">
        <v>389</v>
      </c>
      <c r="D327" s="24"/>
      <c r="E327" s="37" t="s">
        <v>390</v>
      </c>
      <c r="F327" s="37" t="s">
        <v>281</v>
      </c>
      <c r="G327" s="71">
        <v>1</v>
      </c>
      <c r="H327" s="92"/>
      <c r="I327" s="102"/>
      <c r="J327" s="27"/>
      <c r="K327" s="44"/>
      <c r="L327"/>
    </row>
    <row r="328" spans="1:12" ht="18.75" x14ac:dyDescent="0.3">
      <c r="A328" s="31" t="s">
        <v>322</v>
      </c>
      <c r="B328" s="28" t="s">
        <v>383</v>
      </c>
      <c r="C328" s="54" t="s">
        <v>315</v>
      </c>
      <c r="D328" s="24"/>
      <c r="E328" s="31" t="s">
        <v>278</v>
      </c>
      <c r="F328" s="31" t="s">
        <v>281</v>
      </c>
      <c r="G328" s="72">
        <v>1</v>
      </c>
      <c r="H328" s="92"/>
      <c r="I328" s="101"/>
      <c r="J328" s="27"/>
      <c r="K328" s="44"/>
      <c r="L328"/>
    </row>
    <row r="329" spans="1:12" x14ac:dyDescent="0.25">
      <c r="A329" s="30"/>
      <c r="B329" s="30"/>
      <c r="C329" s="53"/>
      <c r="D329" s="30"/>
      <c r="E329" s="30"/>
      <c r="F329" s="30"/>
      <c r="G329" s="72"/>
      <c r="H329" s="92"/>
      <c r="I329" s="63"/>
      <c r="J329" s="30"/>
      <c r="K329" s="53"/>
      <c r="L329"/>
    </row>
    <row r="330" spans="1:12" ht="26.25" x14ac:dyDescent="0.2">
      <c r="A330" s="51" t="s">
        <v>353</v>
      </c>
      <c r="B330" s="51"/>
      <c r="C330" s="44"/>
      <c r="D330" s="51"/>
      <c r="E330" s="51"/>
      <c r="F330" s="51"/>
      <c r="G330" s="80"/>
      <c r="H330" s="92"/>
      <c r="I330" s="68"/>
      <c r="J330" s="51"/>
      <c r="K330" s="44"/>
      <c r="L330"/>
    </row>
    <row r="331" spans="1:12" ht="37.5" x14ac:dyDescent="0.3">
      <c r="A331" s="37" t="s">
        <v>392</v>
      </c>
      <c r="B331" s="35" t="s">
        <v>396</v>
      </c>
      <c r="C331" s="44"/>
      <c r="D331" s="24"/>
      <c r="E331" s="24"/>
      <c r="F331" s="37" t="s">
        <v>281</v>
      </c>
      <c r="G331" s="71">
        <v>1</v>
      </c>
      <c r="H331" s="92"/>
      <c r="I331" s="102"/>
      <c r="J331" s="27"/>
      <c r="K331" s="44"/>
      <c r="L331"/>
    </row>
    <row r="332" spans="1:12" ht="18.75" x14ac:dyDescent="0.3">
      <c r="A332" s="31" t="s">
        <v>393</v>
      </c>
      <c r="B332" s="28" t="s">
        <v>397</v>
      </c>
      <c r="C332" s="54" t="s">
        <v>274</v>
      </c>
      <c r="D332" s="24"/>
      <c r="E332" s="31" t="s">
        <v>278</v>
      </c>
      <c r="F332" s="31" t="s">
        <v>281</v>
      </c>
      <c r="G332" s="72">
        <v>1</v>
      </c>
      <c r="H332" s="92"/>
      <c r="I332" s="101"/>
      <c r="J332" s="27"/>
      <c r="K332" s="44"/>
      <c r="L332"/>
    </row>
    <row r="333" spans="1:12" ht="37.5" x14ac:dyDescent="0.3">
      <c r="A333" s="37" t="s">
        <v>394</v>
      </c>
      <c r="B333" s="35" t="s">
        <v>398</v>
      </c>
      <c r="C333" s="23" t="s">
        <v>342</v>
      </c>
      <c r="D333" s="24"/>
      <c r="E333" s="37" t="s">
        <v>278</v>
      </c>
      <c r="F333" s="37" t="s">
        <v>281</v>
      </c>
      <c r="G333" s="71">
        <v>1</v>
      </c>
      <c r="H333" s="92"/>
      <c r="I333" s="102"/>
      <c r="J333" s="27"/>
      <c r="K333" s="44"/>
      <c r="L333"/>
    </row>
    <row r="334" spans="1:12" ht="37.5" x14ac:dyDescent="0.3">
      <c r="A334" s="37" t="s">
        <v>395</v>
      </c>
      <c r="B334" s="35" t="s">
        <v>399</v>
      </c>
      <c r="C334" s="23" t="s">
        <v>400</v>
      </c>
      <c r="D334" s="24"/>
      <c r="E334" s="24"/>
      <c r="F334" s="37" t="s">
        <v>281</v>
      </c>
      <c r="G334" s="71">
        <v>1</v>
      </c>
      <c r="H334" s="92"/>
      <c r="I334" s="102"/>
      <c r="J334" s="27"/>
      <c r="K334" s="23" t="s">
        <v>401</v>
      </c>
      <c r="L334"/>
    </row>
    <row r="335" spans="1:12" x14ac:dyDescent="0.25">
      <c r="A335" s="30"/>
      <c r="B335" s="30"/>
      <c r="C335" s="53"/>
      <c r="D335" s="30"/>
      <c r="E335" s="30"/>
      <c r="F335" s="30"/>
      <c r="G335" s="72"/>
      <c r="H335" s="92"/>
      <c r="I335" s="63"/>
      <c r="J335" s="30"/>
      <c r="K335" s="53"/>
      <c r="L335"/>
    </row>
    <row r="336" spans="1:12" ht="58.5" x14ac:dyDescent="0.3">
      <c r="A336" s="29"/>
      <c r="B336" s="28" t="s">
        <v>410</v>
      </c>
      <c r="C336" s="97" t="s">
        <v>419</v>
      </c>
      <c r="D336" s="27"/>
      <c r="E336" s="24"/>
      <c r="F336" s="25" t="s">
        <v>420</v>
      </c>
      <c r="G336" s="70">
        <v>1</v>
      </c>
      <c r="H336" s="92"/>
      <c r="I336" s="92"/>
      <c r="J336" s="27"/>
      <c r="K336" s="44"/>
      <c r="L336"/>
    </row>
    <row r="337" spans="1:12" ht="19.5" x14ac:dyDescent="0.3">
      <c r="A337" s="31" t="s">
        <v>402</v>
      </c>
      <c r="B337" s="28" t="s">
        <v>411</v>
      </c>
      <c r="C337" s="44"/>
      <c r="D337" s="27"/>
      <c r="E337" s="24"/>
      <c r="F337" s="31" t="s">
        <v>420</v>
      </c>
      <c r="G337" s="72">
        <v>1</v>
      </c>
      <c r="H337" s="92"/>
      <c r="I337" s="101"/>
      <c r="J337" s="27"/>
      <c r="K337" s="44"/>
      <c r="L337"/>
    </row>
    <row r="338" spans="1:12" ht="19.5" x14ac:dyDescent="0.3">
      <c r="A338" s="31" t="s">
        <v>403</v>
      </c>
      <c r="B338" s="28" t="s">
        <v>412</v>
      </c>
      <c r="C338" s="44"/>
      <c r="D338" s="27"/>
      <c r="E338" s="24"/>
      <c r="F338" s="31" t="s">
        <v>420</v>
      </c>
      <c r="G338" s="72">
        <v>1</v>
      </c>
      <c r="H338" s="92"/>
      <c r="I338" s="101"/>
      <c r="J338" s="27"/>
      <c r="K338" s="44"/>
      <c r="L338"/>
    </row>
    <row r="339" spans="1:12" ht="19.5" x14ac:dyDescent="0.3">
      <c r="A339" s="31" t="s">
        <v>404</v>
      </c>
      <c r="B339" s="28" t="s">
        <v>413</v>
      </c>
      <c r="C339" s="44"/>
      <c r="D339" s="27"/>
      <c r="E339" s="24"/>
      <c r="F339" s="31" t="s">
        <v>420</v>
      </c>
      <c r="G339" s="72">
        <v>2</v>
      </c>
      <c r="H339" s="92"/>
      <c r="I339" s="101"/>
      <c r="J339" s="27"/>
      <c r="K339" s="44"/>
      <c r="L339"/>
    </row>
    <row r="340" spans="1:12" ht="19.5" x14ac:dyDescent="0.3">
      <c r="A340" s="31" t="s">
        <v>405</v>
      </c>
      <c r="B340" s="28" t="s">
        <v>414</v>
      </c>
      <c r="C340" s="44"/>
      <c r="D340" s="27"/>
      <c r="E340" s="24"/>
      <c r="F340" s="31" t="s">
        <v>420</v>
      </c>
      <c r="G340" s="72">
        <v>2</v>
      </c>
      <c r="H340" s="92"/>
      <c r="I340" s="101"/>
      <c r="J340" s="27"/>
      <c r="K340" s="44"/>
      <c r="L340"/>
    </row>
    <row r="341" spans="1:12" ht="19.5" x14ac:dyDescent="0.3">
      <c r="A341" s="31" t="s">
        <v>406</v>
      </c>
      <c r="B341" s="28" t="s">
        <v>415</v>
      </c>
      <c r="C341" s="44"/>
      <c r="D341" s="27"/>
      <c r="E341" s="24"/>
      <c r="F341" s="31" t="s">
        <v>420</v>
      </c>
      <c r="G341" s="72">
        <v>1</v>
      </c>
      <c r="H341" s="92"/>
      <c r="I341" s="101"/>
      <c r="J341" s="27"/>
      <c r="K341" s="44"/>
      <c r="L341"/>
    </row>
    <row r="342" spans="1:12" ht="19.5" x14ac:dyDescent="0.3">
      <c r="A342" s="31" t="s">
        <v>407</v>
      </c>
      <c r="B342" s="28" t="s">
        <v>416</v>
      </c>
      <c r="C342" s="44"/>
      <c r="D342" s="27"/>
      <c r="E342" s="24"/>
      <c r="F342" s="31" t="s">
        <v>420</v>
      </c>
      <c r="G342" s="72">
        <v>5</v>
      </c>
      <c r="H342" s="92"/>
      <c r="I342" s="101"/>
      <c r="J342" s="27"/>
      <c r="K342" s="44"/>
      <c r="L342"/>
    </row>
    <row r="343" spans="1:12" ht="19.5" x14ac:dyDescent="0.3">
      <c r="A343" s="31" t="s">
        <v>408</v>
      </c>
      <c r="B343" s="28" t="s">
        <v>417</v>
      </c>
      <c r="C343" s="44"/>
      <c r="D343" s="27"/>
      <c r="E343" s="24"/>
      <c r="F343" s="31" t="s">
        <v>420</v>
      </c>
      <c r="G343" s="72">
        <v>2</v>
      </c>
      <c r="H343" s="92"/>
      <c r="I343" s="101"/>
      <c r="J343" s="27"/>
      <c r="K343" s="44"/>
      <c r="L343"/>
    </row>
    <row r="344" spans="1:12" ht="39" x14ac:dyDescent="0.3">
      <c r="A344" s="25" t="s">
        <v>409</v>
      </c>
      <c r="B344" s="35" t="s">
        <v>418</v>
      </c>
      <c r="C344" s="44"/>
      <c r="D344" s="27"/>
      <c r="E344" s="24"/>
      <c r="F344" s="25" t="s">
        <v>421</v>
      </c>
      <c r="G344" s="70">
        <v>1</v>
      </c>
      <c r="H344" s="92"/>
      <c r="I344" s="92"/>
      <c r="J344" s="27"/>
      <c r="K344" s="44"/>
      <c r="L344"/>
    </row>
    <row r="345" spans="1:12" x14ac:dyDescent="0.25">
      <c r="A345" s="30"/>
      <c r="B345" s="30"/>
      <c r="C345" s="53"/>
      <c r="D345" s="30"/>
      <c r="E345" s="30"/>
      <c r="F345" s="30"/>
      <c r="G345" s="72"/>
      <c r="H345" s="92"/>
      <c r="I345" s="63"/>
      <c r="J345" s="30"/>
      <c r="K345" s="53"/>
      <c r="L345"/>
    </row>
    <row r="346" spans="1:12" ht="19.5" x14ac:dyDescent="0.3">
      <c r="A346" s="31" t="s">
        <v>423</v>
      </c>
      <c r="B346" s="28" t="s">
        <v>427</v>
      </c>
      <c r="C346" s="44"/>
      <c r="D346" s="27"/>
      <c r="E346" s="24"/>
      <c r="F346" s="31" t="s">
        <v>420</v>
      </c>
      <c r="G346" s="72">
        <v>1</v>
      </c>
      <c r="H346" s="92"/>
      <c r="I346" s="101"/>
      <c r="J346" s="27"/>
      <c r="K346" s="44"/>
      <c r="L346"/>
    </row>
    <row r="347" spans="1:12" ht="19.5" x14ac:dyDescent="0.3">
      <c r="A347" s="31" t="s">
        <v>402</v>
      </c>
      <c r="B347" s="28" t="s">
        <v>428</v>
      </c>
      <c r="C347" s="44"/>
      <c r="D347" s="27"/>
      <c r="E347" s="24"/>
      <c r="F347" s="31" t="s">
        <v>420</v>
      </c>
      <c r="G347" s="72">
        <v>6</v>
      </c>
      <c r="H347" s="92"/>
      <c r="I347" s="101"/>
      <c r="J347" s="27"/>
      <c r="K347" s="44"/>
      <c r="L347"/>
    </row>
    <row r="348" spans="1:12" ht="19.5" x14ac:dyDescent="0.3">
      <c r="A348" s="31" t="s">
        <v>403</v>
      </c>
      <c r="B348" s="28" t="s">
        <v>429</v>
      </c>
      <c r="C348" s="44"/>
      <c r="D348" s="27"/>
      <c r="E348" s="24"/>
      <c r="F348" s="31" t="s">
        <v>420</v>
      </c>
      <c r="G348" s="72">
        <v>6</v>
      </c>
      <c r="H348" s="92"/>
      <c r="I348" s="101"/>
      <c r="J348" s="27"/>
      <c r="K348" s="44"/>
      <c r="L348"/>
    </row>
    <row r="349" spans="1:12" ht="19.5" x14ac:dyDescent="0.3">
      <c r="A349" s="31" t="s">
        <v>404</v>
      </c>
      <c r="B349" s="28" t="s">
        <v>430</v>
      </c>
      <c r="C349" s="44"/>
      <c r="D349" s="27"/>
      <c r="E349" s="24"/>
      <c r="F349" s="31" t="s">
        <v>420</v>
      </c>
      <c r="G349" s="72">
        <v>2</v>
      </c>
      <c r="H349" s="92"/>
      <c r="I349" s="101"/>
      <c r="J349" s="27"/>
      <c r="K349" s="44"/>
      <c r="L349"/>
    </row>
    <row r="350" spans="1:12" ht="19.5" x14ac:dyDescent="0.3">
      <c r="A350" s="31" t="s">
        <v>424</v>
      </c>
      <c r="B350" s="28" t="s">
        <v>431</v>
      </c>
      <c r="C350" s="44"/>
      <c r="D350" s="27"/>
      <c r="E350" s="24"/>
      <c r="F350" s="31" t="s">
        <v>420</v>
      </c>
      <c r="G350" s="72">
        <v>0</v>
      </c>
      <c r="H350" s="92"/>
      <c r="I350" s="101"/>
      <c r="J350" s="27"/>
      <c r="K350" s="54" t="s">
        <v>439</v>
      </c>
      <c r="L350"/>
    </row>
    <row r="351" spans="1:12" ht="19.5" x14ac:dyDescent="0.3">
      <c r="A351" s="31" t="s">
        <v>425</v>
      </c>
      <c r="B351" s="28" t="s">
        <v>432</v>
      </c>
      <c r="C351" s="44"/>
      <c r="D351" s="27"/>
      <c r="E351" s="24"/>
      <c r="F351" s="31" t="s">
        <v>420</v>
      </c>
      <c r="G351" s="72">
        <v>4</v>
      </c>
      <c r="H351" s="92"/>
      <c r="I351" s="101"/>
      <c r="J351" s="27"/>
      <c r="K351" s="35" t="s">
        <v>440</v>
      </c>
      <c r="L351"/>
    </row>
    <row r="352" spans="1:12" ht="19.5" x14ac:dyDescent="0.3">
      <c r="A352" s="31" t="s">
        <v>406</v>
      </c>
      <c r="B352" s="28" t="s">
        <v>433</v>
      </c>
      <c r="C352" s="44"/>
      <c r="D352" s="27"/>
      <c r="E352" s="24"/>
      <c r="F352" s="31" t="s">
        <v>420</v>
      </c>
      <c r="G352" s="72">
        <v>2</v>
      </c>
      <c r="H352" s="92"/>
      <c r="I352" s="101"/>
      <c r="J352" s="27"/>
      <c r="K352" s="44"/>
      <c r="L352"/>
    </row>
    <row r="353" spans="1:12" ht="39" x14ac:dyDescent="0.3">
      <c r="A353" s="25" t="s">
        <v>407</v>
      </c>
      <c r="B353" s="35" t="s">
        <v>434</v>
      </c>
      <c r="C353" s="44"/>
      <c r="D353" s="27"/>
      <c r="E353" s="24"/>
      <c r="F353" s="25" t="s">
        <v>420</v>
      </c>
      <c r="G353" s="70">
        <v>1</v>
      </c>
      <c r="H353" s="92"/>
      <c r="I353" s="92"/>
      <c r="J353" s="27"/>
      <c r="K353" s="44"/>
      <c r="L353"/>
    </row>
    <row r="354" spans="1:12" ht="39" x14ac:dyDescent="0.3">
      <c r="A354" s="25" t="s">
        <v>408</v>
      </c>
      <c r="B354" s="35" t="s">
        <v>435</v>
      </c>
      <c r="C354" s="44"/>
      <c r="D354" s="27"/>
      <c r="E354" s="24"/>
      <c r="F354" s="25" t="s">
        <v>420</v>
      </c>
      <c r="G354" s="70">
        <v>1</v>
      </c>
      <c r="H354" s="92"/>
      <c r="I354" s="92"/>
      <c r="J354" s="27"/>
      <c r="K354" s="44"/>
      <c r="L354"/>
    </row>
    <row r="355" spans="1:12" ht="19.5" x14ac:dyDescent="0.3">
      <c r="A355" s="31" t="s">
        <v>409</v>
      </c>
      <c r="B355" s="28" t="s">
        <v>436</v>
      </c>
      <c r="C355" s="44"/>
      <c r="D355" s="27"/>
      <c r="E355" s="24"/>
      <c r="F355" s="31" t="s">
        <v>420</v>
      </c>
      <c r="G355" s="72">
        <v>1</v>
      </c>
      <c r="H355" s="92"/>
      <c r="I355" s="101"/>
      <c r="J355" s="27"/>
      <c r="K355" s="44"/>
      <c r="L355"/>
    </row>
    <row r="356" spans="1:12" ht="39" x14ac:dyDescent="0.3">
      <c r="A356" s="25" t="s">
        <v>422</v>
      </c>
      <c r="B356" s="35" t="s">
        <v>437</v>
      </c>
      <c r="C356" s="44"/>
      <c r="D356" s="27"/>
      <c r="E356" s="24"/>
      <c r="F356" s="25" t="s">
        <v>420</v>
      </c>
      <c r="G356" s="70">
        <v>1</v>
      </c>
      <c r="H356" s="92"/>
      <c r="I356" s="92"/>
      <c r="J356" s="27"/>
      <c r="K356" s="44"/>
      <c r="L356"/>
    </row>
    <row r="357" spans="1:12" ht="39" x14ac:dyDescent="0.3">
      <c r="A357" s="25" t="s">
        <v>426</v>
      </c>
      <c r="B357" s="35" t="s">
        <v>438</v>
      </c>
      <c r="C357" s="44"/>
      <c r="D357" s="27"/>
      <c r="E357" s="24"/>
      <c r="F357" s="25" t="s">
        <v>420</v>
      </c>
      <c r="G357" s="70">
        <v>1</v>
      </c>
      <c r="H357" s="92"/>
      <c r="I357" s="92"/>
      <c r="J357" s="27"/>
      <c r="K357" s="44"/>
      <c r="L357"/>
    </row>
  </sheetData>
  <autoFilter ref="A1:L357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UserN</cp:lastModifiedBy>
  <dcterms:created xsi:type="dcterms:W3CDTF">2025-11-26T11:05:45Z</dcterms:created>
  <dcterms:modified xsi:type="dcterms:W3CDTF">2026-04-03T07:02:12Z</dcterms:modified>
</cp:coreProperties>
</file>